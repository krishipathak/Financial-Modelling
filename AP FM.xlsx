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Santosh Pathak\Desktop\"/>
    </mc:Choice>
  </mc:AlternateContent>
  <xr:revisionPtr revIDLastSave="0" documentId="13_ncr:1_{2C210A56-FA59-4B4E-82CD-9DCBF2C1A2A9}" xr6:coauthVersionLast="47" xr6:coauthVersionMax="47" xr10:uidLastSave="{00000000-0000-0000-0000-000000000000}"/>
  <bookViews>
    <workbookView xWindow="-108" yWindow="-108" windowWidth="23256" windowHeight="12456" firstSheet="7" activeTab="8" xr2:uid="{00000000-000D-0000-FFFF-FFFF00000000}"/>
  </bookViews>
  <sheets>
    <sheet name="Assumption Sheet" sheetId="17" r:id="rId1"/>
    <sheet name="Assumption 2" sheetId="24" r:id="rId2"/>
    <sheet name="Financials&gt;" sheetId="4" r:id="rId3"/>
    <sheet name="HistoricalFS" sheetId="2" r:id="rId4"/>
    <sheet name="Ratio Analysis" sheetId="7" r:id="rId5"/>
    <sheet name="Forecast(Explicit)" sheetId="8" r:id="rId6"/>
    <sheet name="WACC" sheetId="9" r:id="rId7"/>
    <sheet name="Common Size Statement" sheetId="13" r:id="rId8"/>
    <sheet name="Intrisinic Growth" sheetId="23" r:id="rId9"/>
    <sheet name="DCF" sheetId="16" r:id="rId10"/>
    <sheet name="Relative Valuation" sheetId="19" r:id="rId11"/>
    <sheet name="Data&gt;" sheetId="3" r:id="rId12"/>
    <sheet name="Datasheet" sheetId="5" r:id="rId13"/>
    <sheet name="Beta" sheetId="11" r:id="rId14"/>
    <sheet name="Market Return" sheetId="12" r:id="rId15"/>
    <sheet name="Data for Rel Val" sheetId="18" r:id="rId16"/>
    <sheet name="Raw FS" sheetId="14" r:id="rId17"/>
    <sheet name="Football Field Analysis" sheetId="20" r:id="rId18"/>
    <sheet name="PPE Schedule" sheetId="21" r:id="rId19"/>
    <sheet name="Sheet2" sheetId="22" r:id="rId20"/>
  </sheets>
  <externalReferences>
    <externalReference r:id="rId21"/>
  </externalReferences>
  <definedNames>
    <definedName name="_xlnm._FilterDatabase" localSheetId="13" hidden="1">Beta!$B$7:$D$7</definedName>
    <definedName name="UPDATE">'[1]Data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 i="24" l="1"/>
  <c r="I37" i="24"/>
  <c r="H37" i="24"/>
  <c r="G37" i="24"/>
  <c r="F37" i="24"/>
  <c r="E37" i="24"/>
  <c r="E35" i="24"/>
  <c r="F35" i="24" s="1"/>
  <c r="G35" i="24" s="1"/>
  <c r="H35" i="24" s="1"/>
  <c r="J27" i="24"/>
  <c r="I27" i="24"/>
  <c r="H27" i="24"/>
  <c r="G27" i="24"/>
  <c r="F27" i="24"/>
  <c r="E27" i="24"/>
  <c r="E25" i="24"/>
  <c r="F25" i="24" s="1"/>
  <c r="G25" i="24" s="1"/>
  <c r="H25" i="24" s="1"/>
  <c r="J16" i="24"/>
  <c r="I16" i="24"/>
  <c r="F16" i="24"/>
  <c r="G16" i="24"/>
  <c r="H16" i="24"/>
  <c r="E16" i="24"/>
  <c r="E14" i="24"/>
  <c r="F14" i="24" s="1"/>
  <c r="G14" i="24" s="1"/>
  <c r="H14" i="24" s="1"/>
  <c r="E2" i="24"/>
  <c r="F2" i="24" s="1"/>
  <c r="G2" i="24" s="1"/>
  <c r="H2" i="24" s="1"/>
  <c r="I2" i="24" s="1"/>
  <c r="J2" i="24" s="1"/>
  <c r="K2" i="24" s="1"/>
  <c r="L2" i="24" s="1"/>
  <c r="M2" i="24" s="1"/>
  <c r="N2" i="24" s="1"/>
  <c r="B1" i="23"/>
  <c r="H59" i="23"/>
  <c r="H57" i="23"/>
  <c r="H48" i="23"/>
  <c r="K41" i="23"/>
  <c r="J41" i="23"/>
  <c r="I41" i="23"/>
  <c r="H41" i="23"/>
  <c r="G41" i="23"/>
  <c r="H42" i="23"/>
  <c r="H35" i="23"/>
  <c r="I35" i="23"/>
  <c r="J35" i="23"/>
  <c r="K35" i="23"/>
  <c r="G35" i="23"/>
  <c r="G44" i="23" s="1"/>
  <c r="G46" i="23" s="1"/>
  <c r="G34" i="23"/>
  <c r="H29" i="23"/>
  <c r="I29" i="23"/>
  <c r="J29" i="23"/>
  <c r="K29" i="23"/>
  <c r="G29" i="23"/>
  <c r="H20" i="23"/>
  <c r="I20" i="23"/>
  <c r="J20" i="23"/>
  <c r="J28" i="23" s="1"/>
  <c r="J30" i="23" s="1"/>
  <c r="K20" i="23"/>
  <c r="H21" i="23"/>
  <c r="I21" i="23"/>
  <c r="I28" i="23" s="1"/>
  <c r="I30" i="23" s="1"/>
  <c r="J21" i="23"/>
  <c r="K21" i="23"/>
  <c r="H22" i="23"/>
  <c r="I22" i="23"/>
  <c r="J22" i="23"/>
  <c r="K22" i="23"/>
  <c r="H23" i="23"/>
  <c r="I23" i="23"/>
  <c r="J23" i="23"/>
  <c r="K23" i="23"/>
  <c r="H24" i="23"/>
  <c r="I24" i="23"/>
  <c r="J24" i="23"/>
  <c r="K24" i="23"/>
  <c r="H25" i="23"/>
  <c r="I25" i="23"/>
  <c r="J25" i="23"/>
  <c r="K25" i="23"/>
  <c r="H26" i="23"/>
  <c r="I26" i="23"/>
  <c r="J26" i="23"/>
  <c r="K26" i="23"/>
  <c r="H27" i="23"/>
  <c r="I27" i="23"/>
  <c r="J27" i="23"/>
  <c r="K27" i="23"/>
  <c r="G21" i="23"/>
  <c r="G22" i="23"/>
  <c r="G23" i="23"/>
  <c r="G24" i="23"/>
  <c r="G25" i="23"/>
  <c r="G26" i="23"/>
  <c r="G27" i="23"/>
  <c r="G20" i="23"/>
  <c r="G28" i="23" s="1"/>
  <c r="G17" i="23"/>
  <c r="H12" i="23"/>
  <c r="I12" i="23"/>
  <c r="J12" i="23"/>
  <c r="J15" i="23" s="1"/>
  <c r="K12" i="23"/>
  <c r="H13" i="23"/>
  <c r="I13" i="23"/>
  <c r="J13" i="23"/>
  <c r="K13" i="23"/>
  <c r="K15" i="23" s="1"/>
  <c r="H14" i="23"/>
  <c r="I14" i="23"/>
  <c r="J14" i="23"/>
  <c r="K14" i="23"/>
  <c r="G13" i="23"/>
  <c r="G14" i="23"/>
  <c r="G12" i="23"/>
  <c r="H8" i="23"/>
  <c r="I8" i="23"/>
  <c r="J8" i="23"/>
  <c r="K8" i="23"/>
  <c r="G8" i="23"/>
  <c r="H7" i="23"/>
  <c r="I7" i="23"/>
  <c r="I9" i="23" s="1"/>
  <c r="J7" i="23"/>
  <c r="K7" i="23"/>
  <c r="G7" i="23"/>
  <c r="H5" i="23"/>
  <c r="I5" i="23"/>
  <c r="J5" i="23"/>
  <c r="K5" i="23"/>
  <c r="H6" i="23"/>
  <c r="I6" i="23"/>
  <c r="J6" i="23"/>
  <c r="K6" i="23"/>
  <c r="G6" i="23"/>
  <c r="G5" i="23"/>
  <c r="J54" i="23"/>
  <c r="K54" i="23" s="1"/>
  <c r="I54" i="23"/>
  <c r="H54" i="23"/>
  <c r="J44" i="23"/>
  <c r="J46" i="23" s="1"/>
  <c r="H44" i="23"/>
  <c r="H46" i="23" s="1"/>
  <c r="H39" i="23"/>
  <c r="I39" i="23" s="1"/>
  <c r="J39" i="23" s="1"/>
  <c r="K39" i="23" s="1"/>
  <c r="K44" i="23"/>
  <c r="K46" i="23" s="1"/>
  <c r="I44" i="23"/>
  <c r="I46" i="23" s="1"/>
  <c r="H28" i="23"/>
  <c r="H30" i="23" s="1"/>
  <c r="K28" i="23"/>
  <c r="K30" i="23" s="1"/>
  <c r="I15" i="23"/>
  <c r="G15" i="23"/>
  <c r="H15" i="23"/>
  <c r="H9" i="23"/>
  <c r="H17" i="23" s="1"/>
  <c r="H2" i="23"/>
  <c r="I2" i="23" s="1"/>
  <c r="J2" i="23" s="1"/>
  <c r="K2" i="23" s="1"/>
  <c r="G30" i="23" l="1"/>
  <c r="I17" i="23"/>
  <c r="K9" i="23"/>
  <c r="K17" i="23" s="1"/>
  <c r="K34" i="23" s="1"/>
  <c r="K37" i="23" s="1"/>
  <c r="K57" i="23" s="1"/>
  <c r="G9" i="23"/>
  <c r="J9" i="23"/>
  <c r="H34" i="23"/>
  <c r="H37" i="23" s="1"/>
  <c r="I42" i="23"/>
  <c r="I48" i="23" s="1"/>
  <c r="I49" i="23" s="1"/>
  <c r="I56" i="23" s="1"/>
  <c r="J17" i="23"/>
  <c r="J42" i="23" s="1"/>
  <c r="J48" i="23"/>
  <c r="J49" i="23" s="1"/>
  <c r="J56" i="23" s="1"/>
  <c r="I34" i="23"/>
  <c r="I37" i="23" s="1"/>
  <c r="I57" i="23" s="1"/>
  <c r="G37" i="23" l="1"/>
  <c r="K42" i="23"/>
  <c r="K48" i="23" s="1"/>
  <c r="K49" i="23" s="1"/>
  <c r="K56" i="23" s="1"/>
  <c r="K59" i="23" s="1"/>
  <c r="J34" i="23"/>
  <c r="J37" i="23" s="1"/>
  <c r="J57" i="23" s="1"/>
  <c r="J59" i="23" s="1"/>
  <c r="H49" i="23"/>
  <c r="I59" i="23"/>
  <c r="H56" i="23" l="1"/>
  <c r="K51" i="23"/>
  <c r="K52" i="23"/>
  <c r="K62" i="23" l="1"/>
  <c r="K61" i="23"/>
  <c r="O26" i="19" l="1"/>
  <c r="Q9" i="19"/>
  <c r="H9" i="19"/>
  <c r="G9" i="19"/>
  <c r="K31" i="9"/>
  <c r="G7" i="12"/>
  <c r="J9" i="16"/>
  <c r="K9" i="16"/>
  <c r="L9" i="16"/>
  <c r="M9" i="16"/>
  <c r="I9" i="16"/>
  <c r="H9" i="16"/>
  <c r="D40" i="8"/>
  <c r="E40" i="8"/>
  <c r="F40" i="8"/>
  <c r="G40" i="8"/>
  <c r="C40" i="8"/>
  <c r="H15" i="21"/>
  <c r="H14" i="21"/>
  <c r="F16" i="21"/>
  <c r="H16" i="21" s="1"/>
  <c r="E16" i="21"/>
  <c r="D16" i="21"/>
  <c r="C16" i="21"/>
  <c r="D13" i="21"/>
  <c r="E13" i="21" s="1"/>
  <c r="F13" i="21" s="1"/>
  <c r="G13" i="21" s="1"/>
  <c r="D9" i="21"/>
  <c r="C7" i="21"/>
  <c r="D4" i="21" s="1"/>
  <c r="W20" i="5"/>
  <c r="R18" i="5"/>
  <c r="S18" i="5"/>
  <c r="T18" i="5"/>
  <c r="U18" i="5"/>
  <c r="V18" i="5"/>
  <c r="W18" i="5"/>
  <c r="X18" i="5"/>
  <c r="Y18" i="5"/>
  <c r="Z18" i="5"/>
  <c r="AA18" i="5"/>
  <c r="C4" i="21"/>
  <c r="U16" i="14"/>
  <c r="V16" i="14"/>
  <c r="W16" i="14"/>
  <c r="X16" i="14"/>
  <c r="Y16" i="14"/>
  <c r="Z16" i="14"/>
  <c r="AA16" i="14"/>
  <c r="AB16" i="14"/>
  <c r="T16" i="14"/>
  <c r="T15" i="14"/>
  <c r="U15" i="14"/>
  <c r="V15" i="14"/>
  <c r="W15" i="14"/>
  <c r="X15" i="14"/>
  <c r="Y15" i="14"/>
  <c r="Z15" i="14"/>
  <c r="AA15" i="14"/>
  <c r="AB15" i="14"/>
  <c r="S15" i="14"/>
  <c r="U13" i="14"/>
  <c r="V13" i="14"/>
  <c r="W13" i="14"/>
  <c r="X13" i="14"/>
  <c r="Y13" i="14"/>
  <c r="Z13" i="14"/>
  <c r="AA13" i="14"/>
  <c r="AB13" i="14"/>
  <c r="T13" i="14"/>
  <c r="U7" i="14"/>
  <c r="V7" i="14"/>
  <c r="W7" i="14" s="1"/>
  <c r="X7" i="14" s="1"/>
  <c r="Y7" i="14" s="1"/>
  <c r="Z7" i="14" s="1"/>
  <c r="AA7" i="14" s="1"/>
  <c r="AB7" i="14" s="1"/>
  <c r="T7" i="14"/>
  <c r="U10" i="14"/>
  <c r="V10" i="14"/>
  <c r="W10" i="14"/>
  <c r="X10" i="14"/>
  <c r="Y10" i="14"/>
  <c r="Z10" i="14"/>
  <c r="AA10" i="14"/>
  <c r="AB10" i="14"/>
  <c r="T10" i="14"/>
  <c r="M60" i="2"/>
  <c r="M61" i="2"/>
  <c r="M62" i="2"/>
  <c r="M59" i="2"/>
  <c r="M54" i="2"/>
  <c r="M55" i="2"/>
  <c r="M56" i="2"/>
  <c r="M57" i="2"/>
  <c r="M53" i="2"/>
  <c r="M48" i="2"/>
  <c r="M49" i="2"/>
  <c r="M50" i="2"/>
  <c r="M51" i="2"/>
  <c r="M47" i="2"/>
  <c r="C42" i="2"/>
  <c r="M41" i="2"/>
  <c r="C44" i="2"/>
  <c r="D25" i="2"/>
  <c r="E25" i="2"/>
  <c r="F25" i="2"/>
  <c r="G25" i="2"/>
  <c r="H25" i="2"/>
  <c r="I25" i="2"/>
  <c r="J25" i="2"/>
  <c r="K25" i="2"/>
  <c r="L25" i="2"/>
  <c r="C25" i="2"/>
  <c r="C24" i="2"/>
  <c r="C18" i="7"/>
  <c r="X5" i="2"/>
  <c r="Y5" i="2"/>
  <c r="Z5" i="2"/>
  <c r="AA5" i="2"/>
  <c r="AB5" i="2"/>
  <c r="AC5" i="2"/>
  <c r="AD5" i="2"/>
  <c r="AE5" i="2"/>
  <c r="AF5" i="2" s="1"/>
  <c r="AG5" i="2" s="1"/>
  <c r="AH5" i="2" s="1"/>
  <c r="AI5" i="2" s="1"/>
  <c r="AJ5" i="2" s="1"/>
  <c r="AK5" i="2" s="1"/>
  <c r="AL5" i="2" s="1"/>
  <c r="W5" i="2"/>
  <c r="X7" i="2"/>
  <c r="Y7" i="2"/>
  <c r="Z7" i="2"/>
  <c r="AA7" i="2"/>
  <c r="AB7" i="2"/>
  <c r="AC7" i="2"/>
  <c r="AD7" i="2"/>
  <c r="AE7" i="2"/>
  <c r="AF7" i="2"/>
  <c r="AG7" i="2"/>
  <c r="AH7" i="2"/>
  <c r="AI7" i="2"/>
  <c r="AJ7" i="2"/>
  <c r="AK7" i="2"/>
  <c r="AL7" i="2"/>
  <c r="W7" i="2"/>
  <c r="E17" i="9"/>
  <c r="H3" i="21" l="1"/>
  <c r="I3" i="21"/>
  <c r="J3" i="21"/>
  <c r="K3" i="21"/>
  <c r="L3" i="21"/>
  <c r="D10" i="21"/>
  <c r="E10" i="21"/>
  <c r="F10" i="21"/>
  <c r="G10" i="21"/>
  <c r="C10" i="21"/>
  <c r="E5" i="21"/>
  <c r="F5" i="21"/>
  <c r="G5" i="21"/>
  <c r="E6" i="21"/>
  <c r="F6" i="21"/>
  <c r="G6" i="21"/>
  <c r="D6" i="21"/>
  <c r="C6" i="21"/>
  <c r="D5" i="21"/>
  <c r="C5" i="21"/>
  <c r="D3" i="21"/>
  <c r="E3" i="21" s="1"/>
  <c r="F3" i="21" s="1"/>
  <c r="G3" i="21" s="1"/>
  <c r="K23" i="9"/>
  <c r="G5" i="12"/>
  <c r="D39" i="7"/>
  <c r="C103" i="2"/>
  <c r="M96" i="2"/>
  <c r="M97" i="2"/>
  <c r="M98" i="2"/>
  <c r="M99" i="2"/>
  <c r="M100" i="2"/>
  <c r="M101" i="2"/>
  <c r="M95" i="2"/>
  <c r="D95" i="2"/>
  <c r="E95" i="2"/>
  <c r="F95" i="2"/>
  <c r="G95" i="2"/>
  <c r="H95" i="2"/>
  <c r="I95" i="2"/>
  <c r="J95" i="2"/>
  <c r="K95" i="2"/>
  <c r="L95" i="2"/>
  <c r="D96" i="2"/>
  <c r="E96" i="2"/>
  <c r="F96" i="2"/>
  <c r="G96" i="2"/>
  <c r="H96" i="2"/>
  <c r="I96" i="2"/>
  <c r="J96" i="2"/>
  <c r="K96" i="2"/>
  <c r="L96" i="2"/>
  <c r="D97" i="2"/>
  <c r="E97" i="2"/>
  <c r="F97" i="2"/>
  <c r="G97" i="2"/>
  <c r="H97" i="2"/>
  <c r="I97" i="2"/>
  <c r="J97" i="2"/>
  <c r="K97" i="2"/>
  <c r="L97" i="2"/>
  <c r="D98" i="2"/>
  <c r="E98" i="2"/>
  <c r="F98" i="2"/>
  <c r="G98" i="2"/>
  <c r="H98" i="2"/>
  <c r="I98" i="2"/>
  <c r="J98" i="2"/>
  <c r="K98" i="2"/>
  <c r="L98" i="2"/>
  <c r="D99" i="2"/>
  <c r="E99" i="2"/>
  <c r="F99" i="2"/>
  <c r="G99" i="2"/>
  <c r="H99" i="2"/>
  <c r="I99" i="2"/>
  <c r="J99" i="2"/>
  <c r="K99" i="2"/>
  <c r="L99" i="2"/>
  <c r="D100" i="2"/>
  <c r="E100" i="2"/>
  <c r="F100" i="2"/>
  <c r="G100" i="2"/>
  <c r="H100" i="2"/>
  <c r="I100" i="2"/>
  <c r="J100" i="2"/>
  <c r="K100" i="2"/>
  <c r="L100" i="2"/>
  <c r="D101" i="2"/>
  <c r="E101" i="2"/>
  <c r="F101" i="2"/>
  <c r="G101" i="2"/>
  <c r="H101" i="2"/>
  <c r="I101" i="2"/>
  <c r="J101" i="2"/>
  <c r="K101" i="2"/>
  <c r="L101" i="2"/>
  <c r="C96" i="2"/>
  <c r="C97" i="2"/>
  <c r="C98" i="2"/>
  <c r="C99" i="2"/>
  <c r="C100" i="2"/>
  <c r="C101" i="2"/>
  <c r="C95" i="2"/>
  <c r="M82" i="2"/>
  <c r="M83" i="2"/>
  <c r="M84" i="2"/>
  <c r="M85" i="2"/>
  <c r="M86" i="2"/>
  <c r="M87" i="2"/>
  <c r="M88" i="2"/>
  <c r="M89" i="2"/>
  <c r="M91" i="2" s="1"/>
  <c r="M90" i="2"/>
  <c r="M81" i="2"/>
  <c r="D81" i="2"/>
  <c r="E81" i="2"/>
  <c r="F81" i="2"/>
  <c r="G81" i="2"/>
  <c r="H81" i="2"/>
  <c r="H91" i="2" s="1"/>
  <c r="I81" i="2"/>
  <c r="I91" i="2" s="1"/>
  <c r="J81" i="2"/>
  <c r="J91" i="2" s="1"/>
  <c r="K81" i="2"/>
  <c r="K91" i="2" s="1"/>
  <c r="L81" i="2"/>
  <c r="D82" i="2"/>
  <c r="E82" i="2"/>
  <c r="F82" i="2"/>
  <c r="G82" i="2"/>
  <c r="H82" i="2"/>
  <c r="I82" i="2"/>
  <c r="J82" i="2"/>
  <c r="K82" i="2"/>
  <c r="L82" i="2"/>
  <c r="D83" i="2"/>
  <c r="E83" i="2"/>
  <c r="F83" i="2"/>
  <c r="G83" i="2"/>
  <c r="H83" i="2"/>
  <c r="I83" i="2"/>
  <c r="J83" i="2"/>
  <c r="K83" i="2"/>
  <c r="L83" i="2"/>
  <c r="D84" i="2"/>
  <c r="D91" i="2" s="1"/>
  <c r="E84" i="2"/>
  <c r="E91" i="2" s="1"/>
  <c r="F84" i="2"/>
  <c r="G84" i="2"/>
  <c r="H84" i="2"/>
  <c r="I84" i="2"/>
  <c r="J84" i="2"/>
  <c r="K84" i="2"/>
  <c r="L84" i="2"/>
  <c r="L91" i="2" s="1"/>
  <c r="D85" i="2"/>
  <c r="E85" i="2"/>
  <c r="F85" i="2"/>
  <c r="G85" i="2"/>
  <c r="H85" i="2"/>
  <c r="I85" i="2"/>
  <c r="J85" i="2"/>
  <c r="K85" i="2"/>
  <c r="L85" i="2"/>
  <c r="D86" i="2"/>
  <c r="E86" i="2"/>
  <c r="F86" i="2"/>
  <c r="G86" i="2"/>
  <c r="H86" i="2"/>
  <c r="I86" i="2"/>
  <c r="J86" i="2"/>
  <c r="K86" i="2"/>
  <c r="L86" i="2"/>
  <c r="D87" i="2"/>
  <c r="E87" i="2"/>
  <c r="F87" i="2"/>
  <c r="G87" i="2"/>
  <c r="H87" i="2"/>
  <c r="I87" i="2"/>
  <c r="J87" i="2"/>
  <c r="K87" i="2"/>
  <c r="L87" i="2"/>
  <c r="D88" i="2"/>
  <c r="E88" i="2"/>
  <c r="F88" i="2"/>
  <c r="G88" i="2"/>
  <c r="H88" i="2"/>
  <c r="I88" i="2"/>
  <c r="J88" i="2"/>
  <c r="K88" i="2"/>
  <c r="L88" i="2"/>
  <c r="D89" i="2"/>
  <c r="E89" i="2"/>
  <c r="F89" i="2"/>
  <c r="G89" i="2"/>
  <c r="H89" i="2"/>
  <c r="I89" i="2"/>
  <c r="J89" i="2"/>
  <c r="K89" i="2"/>
  <c r="L89" i="2"/>
  <c r="D90" i="2"/>
  <c r="E90" i="2"/>
  <c r="F90" i="2"/>
  <c r="G90" i="2"/>
  <c r="H90" i="2"/>
  <c r="I90" i="2"/>
  <c r="J90" i="2"/>
  <c r="K90" i="2"/>
  <c r="L90" i="2"/>
  <c r="F91" i="2"/>
  <c r="G91" i="2"/>
  <c r="C82" i="2"/>
  <c r="C83" i="2"/>
  <c r="C84" i="2"/>
  <c r="C85" i="2"/>
  <c r="C86" i="2"/>
  <c r="C87" i="2"/>
  <c r="C88" i="2"/>
  <c r="C89" i="2"/>
  <c r="C90" i="2"/>
  <c r="C81" i="2"/>
  <c r="M77" i="2"/>
  <c r="M71" i="2"/>
  <c r="M72" i="2"/>
  <c r="M73" i="2"/>
  <c r="M74" i="2"/>
  <c r="M75" i="2"/>
  <c r="M76" i="2"/>
  <c r="M70" i="2"/>
  <c r="E77" i="2"/>
  <c r="F77" i="2"/>
  <c r="G77" i="2"/>
  <c r="H77" i="2"/>
  <c r="I77" i="2"/>
  <c r="J77" i="2"/>
  <c r="K77" i="2"/>
  <c r="L77" i="2"/>
  <c r="F70" i="2"/>
  <c r="G70" i="2"/>
  <c r="H70" i="2"/>
  <c r="I70" i="2"/>
  <c r="J70" i="2"/>
  <c r="K70" i="2"/>
  <c r="L70" i="2"/>
  <c r="F71" i="2"/>
  <c r="G71" i="2"/>
  <c r="H71" i="2"/>
  <c r="I71" i="2"/>
  <c r="J71" i="2"/>
  <c r="K71" i="2"/>
  <c r="L71" i="2"/>
  <c r="F72" i="2"/>
  <c r="G72" i="2"/>
  <c r="H72" i="2"/>
  <c r="I72" i="2"/>
  <c r="J72" i="2"/>
  <c r="K72" i="2"/>
  <c r="L72" i="2"/>
  <c r="F73" i="2"/>
  <c r="G73" i="2"/>
  <c r="H73" i="2"/>
  <c r="I73" i="2"/>
  <c r="J73" i="2"/>
  <c r="K73" i="2"/>
  <c r="L73" i="2"/>
  <c r="F74" i="2"/>
  <c r="G74" i="2"/>
  <c r="H74" i="2"/>
  <c r="I74" i="2"/>
  <c r="J74" i="2"/>
  <c r="K74" i="2"/>
  <c r="L74" i="2"/>
  <c r="F75" i="2"/>
  <c r="G75" i="2"/>
  <c r="H75" i="2"/>
  <c r="I75" i="2"/>
  <c r="J75" i="2"/>
  <c r="K75" i="2"/>
  <c r="L75" i="2"/>
  <c r="F76" i="2"/>
  <c r="G76" i="2"/>
  <c r="H76" i="2"/>
  <c r="I76" i="2"/>
  <c r="J76" i="2"/>
  <c r="K76" i="2"/>
  <c r="L76" i="2"/>
  <c r="E71" i="2"/>
  <c r="E72" i="2"/>
  <c r="E73" i="2"/>
  <c r="E74" i="2"/>
  <c r="E75" i="2"/>
  <c r="E76" i="2"/>
  <c r="D77" i="2"/>
  <c r="D71" i="2"/>
  <c r="D72" i="2"/>
  <c r="D73" i="2"/>
  <c r="D74" i="2"/>
  <c r="D75" i="2"/>
  <c r="D76" i="2"/>
  <c r="C77" i="2"/>
  <c r="C74" i="2"/>
  <c r="C75" i="2"/>
  <c r="C76" i="2"/>
  <c r="C71" i="2"/>
  <c r="C72" i="2"/>
  <c r="C73" i="2"/>
  <c r="D70" i="2"/>
  <c r="E70" i="2"/>
  <c r="C70" i="2"/>
  <c r="B2" i="20"/>
  <c r="Q7" i="20"/>
  <c r="O7" i="20"/>
  <c r="B2" i="19"/>
  <c r="O29" i="19"/>
  <c r="L9" i="19"/>
  <c r="M9" i="19"/>
  <c r="L10" i="19"/>
  <c r="M10" i="19"/>
  <c r="L11" i="19"/>
  <c r="M11" i="19"/>
  <c r="L12" i="19"/>
  <c r="M12" i="19"/>
  <c r="L13" i="19"/>
  <c r="M13" i="19"/>
  <c r="L14" i="19"/>
  <c r="M14" i="19"/>
  <c r="L15" i="19"/>
  <c r="M15" i="19"/>
  <c r="K10" i="19"/>
  <c r="K11" i="19"/>
  <c r="K12" i="19"/>
  <c r="K13" i="19"/>
  <c r="K14" i="19"/>
  <c r="K15" i="19"/>
  <c r="K9" i="19"/>
  <c r="G10" i="19"/>
  <c r="G11" i="19"/>
  <c r="G12" i="19"/>
  <c r="G13" i="19"/>
  <c r="G14" i="19"/>
  <c r="G15" i="19"/>
  <c r="Q27" i="19"/>
  <c r="H3" i="18"/>
  <c r="H4" i="18"/>
  <c r="H5" i="18"/>
  <c r="H6" i="18"/>
  <c r="H7" i="18"/>
  <c r="H8" i="18"/>
  <c r="H2" i="18"/>
  <c r="E10" i="19"/>
  <c r="E11" i="19"/>
  <c r="E12" i="19"/>
  <c r="E13" i="19"/>
  <c r="E14" i="19"/>
  <c r="E15" i="19"/>
  <c r="E9" i="19"/>
  <c r="P29" i="19" s="1"/>
  <c r="D10" i="19"/>
  <c r="F10" i="19" s="1"/>
  <c r="Q10" i="19" s="1"/>
  <c r="D11" i="19"/>
  <c r="D12" i="19"/>
  <c r="D13" i="19"/>
  <c r="D14" i="19"/>
  <c r="D15" i="19"/>
  <c r="D9" i="19"/>
  <c r="B10" i="19"/>
  <c r="B11" i="19"/>
  <c r="B12" i="19"/>
  <c r="B13" i="19"/>
  <c r="B14" i="19"/>
  <c r="B15" i="19"/>
  <c r="B9" i="19"/>
  <c r="J7" i="18"/>
  <c r="J2" i="18"/>
  <c r="F3" i="18"/>
  <c r="J3" i="18" s="1"/>
  <c r="F4" i="18"/>
  <c r="J4" i="18" s="1"/>
  <c r="F5" i="18"/>
  <c r="J5" i="18" s="1"/>
  <c r="F6" i="18"/>
  <c r="J6" i="18" s="1"/>
  <c r="F7" i="18"/>
  <c r="F8" i="18"/>
  <c r="J8" i="18" s="1"/>
  <c r="F2" i="18"/>
  <c r="C53" i="8"/>
  <c r="C75" i="17"/>
  <c r="K106" i="17"/>
  <c r="K107" i="17" s="1"/>
  <c r="J106" i="17"/>
  <c r="I106" i="17"/>
  <c r="I107" i="17" s="1"/>
  <c r="H106" i="17"/>
  <c r="G106" i="17"/>
  <c r="G123" i="17" s="1"/>
  <c r="F106" i="17"/>
  <c r="D106" i="17"/>
  <c r="D123" i="17" s="1"/>
  <c r="C106" i="17"/>
  <c r="C123" i="17" s="1"/>
  <c r="I105" i="17"/>
  <c r="J105" i="17" s="1"/>
  <c r="K105" i="17" s="1"/>
  <c r="D105" i="17"/>
  <c r="F105" i="17" s="1"/>
  <c r="G105" i="17" s="1"/>
  <c r="D29" i="7"/>
  <c r="D27" i="7"/>
  <c r="J107" i="17" l="1"/>
  <c r="H107" i="17"/>
  <c r="F123" i="17"/>
  <c r="D7" i="21"/>
  <c r="E4" i="21" s="1"/>
  <c r="P27" i="19"/>
  <c r="F12" i="19"/>
  <c r="Q12" i="19" s="1"/>
  <c r="O27" i="19"/>
  <c r="F13" i="19"/>
  <c r="Q29" i="19"/>
  <c r="H13" i="19"/>
  <c r="Q13" i="19"/>
  <c r="F9" i="19"/>
  <c r="F14" i="19"/>
  <c r="H12" i="19"/>
  <c r="F15" i="19"/>
  <c r="H10" i="19"/>
  <c r="F11" i="19"/>
  <c r="C6" i="8"/>
  <c r="D34" i="7"/>
  <c r="D28" i="7"/>
  <c r="D35" i="7" s="1"/>
  <c r="D36" i="7"/>
  <c r="L28" i="7"/>
  <c r="K28" i="7"/>
  <c r="J28" i="7"/>
  <c r="I28" i="7"/>
  <c r="H28" i="7"/>
  <c r="G28" i="7"/>
  <c r="F28" i="7"/>
  <c r="E28" i="7"/>
  <c r="E27" i="7"/>
  <c r="F27" i="7"/>
  <c r="G27" i="7"/>
  <c r="H27" i="7"/>
  <c r="I27" i="7"/>
  <c r="J27" i="7"/>
  <c r="K27" i="7"/>
  <c r="L27" i="7"/>
  <c r="E19" i="9"/>
  <c r="AB54" i="14"/>
  <c r="H76" i="5"/>
  <c r="I76" i="5"/>
  <c r="C76" i="5"/>
  <c r="D76" i="5"/>
  <c r="E76" i="5"/>
  <c r="F76" i="5"/>
  <c r="G76" i="5"/>
  <c r="J76" i="5"/>
  <c r="K76" i="5"/>
  <c r="B76" i="5"/>
  <c r="M15" i="2"/>
  <c r="D15" i="2"/>
  <c r="E15" i="2"/>
  <c r="F15" i="2"/>
  <c r="G15" i="2"/>
  <c r="H15" i="2"/>
  <c r="I15" i="2"/>
  <c r="J15" i="2"/>
  <c r="K15" i="2"/>
  <c r="L15" i="2"/>
  <c r="C15" i="2"/>
  <c r="M9" i="2"/>
  <c r="D9" i="2"/>
  <c r="E9" i="2"/>
  <c r="F9" i="2"/>
  <c r="G9" i="2"/>
  <c r="H9" i="2"/>
  <c r="I9" i="2"/>
  <c r="J9" i="2"/>
  <c r="K9" i="2"/>
  <c r="L9" i="2"/>
  <c r="C9" i="2"/>
  <c r="M20" i="5"/>
  <c r="N20" i="5"/>
  <c r="O20" i="5"/>
  <c r="L20" i="5"/>
  <c r="D24" i="16"/>
  <c r="D37" i="16"/>
  <c r="D35" i="16"/>
  <c r="D34" i="16"/>
  <c r="P34" i="14"/>
  <c r="P33" i="14"/>
  <c r="P32" i="14"/>
  <c r="S54" i="14"/>
  <c r="T54" i="14"/>
  <c r="U54" i="14"/>
  <c r="V54" i="14"/>
  <c r="W54" i="14"/>
  <c r="X54" i="14"/>
  <c r="Y54" i="14"/>
  <c r="Z54" i="14"/>
  <c r="AA54" i="14"/>
  <c r="R54" i="14"/>
  <c r="AB53" i="14"/>
  <c r="Q53" i="14"/>
  <c r="R53" i="14"/>
  <c r="S53" i="14"/>
  <c r="T53" i="14"/>
  <c r="U53" i="14"/>
  <c r="V53" i="14"/>
  <c r="W53" i="14"/>
  <c r="X53" i="14"/>
  <c r="Y53" i="14"/>
  <c r="Z53" i="14"/>
  <c r="AA53" i="14"/>
  <c r="P53" i="14"/>
  <c r="D61" i="8"/>
  <c r="E61" i="8" s="1"/>
  <c r="F61" i="8" s="1"/>
  <c r="G61" i="8" s="1"/>
  <c r="N37" i="5"/>
  <c r="N36" i="5"/>
  <c r="D34" i="5"/>
  <c r="E34" i="5"/>
  <c r="F34" i="5"/>
  <c r="G34" i="5"/>
  <c r="H34" i="5"/>
  <c r="I34" i="5"/>
  <c r="J34" i="5"/>
  <c r="K34" i="5"/>
  <c r="C34" i="5"/>
  <c r="D57" i="8"/>
  <c r="E57" i="8" s="1"/>
  <c r="F57" i="8" s="1"/>
  <c r="G57" i="8" s="1"/>
  <c r="D52" i="8"/>
  <c r="E52" i="8" s="1"/>
  <c r="F52" i="8" s="1"/>
  <c r="G52" i="8" s="1"/>
  <c r="D43" i="8"/>
  <c r="E43" i="8" s="1"/>
  <c r="F43" i="8" s="1"/>
  <c r="G43" i="8" s="1"/>
  <c r="D38" i="8"/>
  <c r="E38" i="8" s="1"/>
  <c r="F38" i="8" s="1"/>
  <c r="G38" i="8" s="1"/>
  <c r="D34" i="8"/>
  <c r="E34" i="8" s="1"/>
  <c r="F34" i="8" s="1"/>
  <c r="G34" i="8" s="1"/>
  <c r="D29" i="8"/>
  <c r="E29" i="8" s="1"/>
  <c r="F29" i="8" s="1"/>
  <c r="G29" i="8" s="1"/>
  <c r="D24" i="8"/>
  <c r="E24" i="8" s="1"/>
  <c r="F24" i="8" s="1"/>
  <c r="G24" i="8" s="1"/>
  <c r="D18" i="8"/>
  <c r="E18" i="8" s="1"/>
  <c r="F18" i="8" s="1"/>
  <c r="G18" i="8" s="1"/>
  <c r="D10" i="8"/>
  <c r="E10" i="8" s="1"/>
  <c r="F10" i="8" s="1"/>
  <c r="G10" i="8" s="1"/>
  <c r="B2" i="8"/>
  <c r="F7" i="11" a="1"/>
  <c r="E7" i="21" l="1"/>
  <c r="D8" i="21"/>
  <c r="C48" i="8"/>
  <c r="C39" i="8"/>
  <c r="Q15" i="19"/>
  <c r="H15" i="19"/>
  <c r="O12" i="19"/>
  <c r="P12" i="19"/>
  <c r="Q11" i="19"/>
  <c r="H11" i="19"/>
  <c r="P10" i="19"/>
  <c r="O10" i="19"/>
  <c r="Q14" i="19"/>
  <c r="H14" i="19"/>
  <c r="O13" i="19"/>
  <c r="P13" i="19"/>
  <c r="D6" i="8"/>
  <c r="E6" i="8" s="1"/>
  <c r="D37" i="7"/>
  <c r="F7" i="11"/>
  <c r="C36" i="13"/>
  <c r="D36" i="13"/>
  <c r="E36" i="13"/>
  <c r="F36" i="13"/>
  <c r="G36" i="13"/>
  <c r="H36" i="13"/>
  <c r="I36" i="13"/>
  <c r="J36" i="13"/>
  <c r="K36" i="13"/>
  <c r="L36" i="13"/>
  <c r="C37" i="13"/>
  <c r="D37" i="13"/>
  <c r="E37" i="13"/>
  <c r="F37" i="13"/>
  <c r="G37" i="13"/>
  <c r="H37" i="13"/>
  <c r="I37" i="13"/>
  <c r="J37" i="13"/>
  <c r="K37" i="13"/>
  <c r="L37" i="13"/>
  <c r="D35" i="13"/>
  <c r="E35" i="13"/>
  <c r="F35" i="13"/>
  <c r="G35" i="13"/>
  <c r="H35" i="13"/>
  <c r="I35" i="13"/>
  <c r="J35" i="13"/>
  <c r="K35" i="13"/>
  <c r="L35" i="13"/>
  <c r="C35" i="13"/>
  <c r="C33" i="13"/>
  <c r="D33" i="13"/>
  <c r="E33" i="13"/>
  <c r="F33" i="13"/>
  <c r="G33" i="13"/>
  <c r="H33" i="13"/>
  <c r="I33" i="13"/>
  <c r="J33" i="13"/>
  <c r="K33" i="13"/>
  <c r="L33" i="13"/>
  <c r="C34" i="13"/>
  <c r="D34" i="13"/>
  <c r="E34" i="13"/>
  <c r="F34" i="13"/>
  <c r="G34" i="13"/>
  <c r="H34" i="13"/>
  <c r="I34" i="13"/>
  <c r="J34" i="13"/>
  <c r="K34" i="13"/>
  <c r="L34" i="13"/>
  <c r="C32" i="13"/>
  <c r="D32" i="13"/>
  <c r="E32" i="13"/>
  <c r="F32" i="13"/>
  <c r="G32" i="13"/>
  <c r="H32" i="13"/>
  <c r="I32" i="13"/>
  <c r="J32" i="13"/>
  <c r="K32" i="13"/>
  <c r="L32" i="13"/>
  <c r="D31" i="13"/>
  <c r="E31" i="13"/>
  <c r="F31" i="13"/>
  <c r="G31" i="13"/>
  <c r="H31" i="13"/>
  <c r="I31" i="13"/>
  <c r="J31" i="13"/>
  <c r="K31" i="13"/>
  <c r="L31" i="13"/>
  <c r="C31" i="13"/>
  <c r="D30" i="13"/>
  <c r="E30" i="13"/>
  <c r="F30" i="13"/>
  <c r="G30" i="13"/>
  <c r="H30" i="13"/>
  <c r="I30" i="13"/>
  <c r="J30" i="13"/>
  <c r="K30" i="13"/>
  <c r="L30" i="13"/>
  <c r="C30" i="13"/>
  <c r="K32" i="9"/>
  <c r="J31" i="9"/>
  <c r="K38" i="9"/>
  <c r="E27" i="9"/>
  <c r="E26" i="9"/>
  <c r="D27" i="9"/>
  <c r="D26" i="9"/>
  <c r="Z7" i="11" a="1"/>
  <c r="V7" i="11" a="1"/>
  <c r="AD7" i="11" a="1"/>
  <c r="B7" i="11" a="1"/>
  <c r="R7" i="11" a="1"/>
  <c r="H5" i="21" l="1"/>
  <c r="H7" i="21" s="1"/>
  <c r="C54" i="8"/>
  <c r="F4" i="21"/>
  <c r="F7" i="21" s="1"/>
  <c r="F8" i="21"/>
  <c r="F9" i="21" s="1"/>
  <c r="E8" i="21"/>
  <c r="E9" i="21" s="1"/>
  <c r="Q20" i="19"/>
  <c r="Q28" i="19" s="1"/>
  <c r="Q17" i="19"/>
  <c r="Q21" i="19"/>
  <c r="Q19" i="19"/>
  <c r="Q18" i="19"/>
  <c r="Q22" i="19"/>
  <c r="P11" i="19"/>
  <c r="O11" i="19"/>
  <c r="P9" i="19"/>
  <c r="O9" i="19"/>
  <c r="O14" i="19"/>
  <c r="P14" i="19"/>
  <c r="P15" i="19"/>
  <c r="O15" i="19"/>
  <c r="AF269" i="11"/>
  <c r="AF268" i="11"/>
  <c r="AF260" i="11"/>
  <c r="AF252" i="11"/>
  <c r="AF244" i="11"/>
  <c r="AF236" i="11"/>
  <c r="AF228" i="11"/>
  <c r="AF220" i="11"/>
  <c r="AF212" i="11"/>
  <c r="AF204" i="11"/>
  <c r="AF196" i="11"/>
  <c r="AF188" i="11"/>
  <c r="AF180" i="11"/>
  <c r="AF172" i="11"/>
  <c r="AF164" i="11"/>
  <c r="AF156" i="11"/>
  <c r="AF148" i="11"/>
  <c r="AF140" i="11"/>
  <c r="AF132" i="11"/>
  <c r="AF124" i="11"/>
  <c r="AF116" i="11"/>
  <c r="AF108" i="11"/>
  <c r="AF100" i="11"/>
  <c r="AF92" i="11"/>
  <c r="AF84" i="11"/>
  <c r="AF76" i="11"/>
  <c r="AF68" i="11"/>
  <c r="AF60" i="11"/>
  <c r="AF52" i="11"/>
  <c r="AF44" i="11"/>
  <c r="AF36" i="11"/>
  <c r="AF28" i="11"/>
  <c r="AF20" i="11"/>
  <c r="AF12" i="11"/>
  <c r="AF59" i="11"/>
  <c r="AF43" i="11"/>
  <c r="AF19" i="11"/>
  <c r="AF194" i="11"/>
  <c r="AF162" i="11"/>
  <c r="AF138" i="11"/>
  <c r="AF122" i="11"/>
  <c r="AF98" i="11"/>
  <c r="AF74" i="11"/>
  <c r="AF50" i="11"/>
  <c r="AF34" i="11"/>
  <c r="AF10" i="11"/>
  <c r="AF249" i="11"/>
  <c r="AF201" i="11"/>
  <c r="AF177" i="11"/>
  <c r="AF153" i="11"/>
  <c r="AF129" i="11"/>
  <c r="AF105" i="11"/>
  <c r="AF81" i="11"/>
  <c r="AF57" i="11"/>
  <c r="AF33" i="11"/>
  <c r="AF9" i="11"/>
  <c r="AF256" i="11"/>
  <c r="AF240" i="11"/>
  <c r="AF216" i="11"/>
  <c r="AF192" i="11"/>
  <c r="AF168" i="11"/>
  <c r="AF144" i="11"/>
  <c r="AF120" i="11"/>
  <c r="AF88" i="11"/>
  <c r="AF64" i="11"/>
  <c r="AF40" i="11"/>
  <c r="AF16" i="11"/>
  <c r="AF255" i="11"/>
  <c r="AF207" i="11"/>
  <c r="AF183" i="11"/>
  <c r="AF159" i="11"/>
  <c r="AF135" i="11"/>
  <c r="AF95" i="11"/>
  <c r="AF71" i="11"/>
  <c r="AF47" i="11"/>
  <c r="AF23" i="11"/>
  <c r="AF22" i="11"/>
  <c r="AF267" i="11"/>
  <c r="AF259" i="11"/>
  <c r="AF251" i="11"/>
  <c r="AF243" i="11"/>
  <c r="AF235" i="11"/>
  <c r="AF227" i="11"/>
  <c r="AF219" i="11"/>
  <c r="AF211" i="11"/>
  <c r="AF203" i="11"/>
  <c r="AF195" i="11"/>
  <c r="AF187" i="11"/>
  <c r="AF179" i="11"/>
  <c r="AF171" i="11"/>
  <c r="AF163" i="11"/>
  <c r="AF155" i="11"/>
  <c r="AF147" i="11"/>
  <c r="AF139" i="11"/>
  <c r="AF131" i="11"/>
  <c r="AF123" i="11"/>
  <c r="AF115" i="11"/>
  <c r="AF107" i="11"/>
  <c r="AF99" i="11"/>
  <c r="AF91" i="11"/>
  <c r="AF83" i="11"/>
  <c r="AF75" i="11"/>
  <c r="AF67" i="11"/>
  <c r="AF51" i="11"/>
  <c r="AF35" i="11"/>
  <c r="AF27" i="11"/>
  <c r="AF11" i="11"/>
  <c r="AF178" i="11"/>
  <c r="AF114" i="11"/>
  <c r="AF90" i="11"/>
  <c r="AF66" i="11"/>
  <c r="AF42" i="11"/>
  <c r="AF18" i="11"/>
  <c r="AF265" i="11"/>
  <c r="AF241" i="11"/>
  <c r="AF225" i="11"/>
  <c r="AF209" i="11"/>
  <c r="AF185" i="11"/>
  <c r="AF161" i="11"/>
  <c r="AF137" i="11"/>
  <c r="AF113" i="11"/>
  <c r="AF89" i="11"/>
  <c r="AF65" i="11"/>
  <c r="AF41" i="11"/>
  <c r="AF25" i="11"/>
  <c r="AF264" i="11"/>
  <c r="AF224" i="11"/>
  <c r="AF200" i="11"/>
  <c r="AF176" i="11"/>
  <c r="AF152" i="11"/>
  <c r="AF128" i="11"/>
  <c r="AF104" i="11"/>
  <c r="AF80" i="11"/>
  <c r="AF48" i="11"/>
  <c r="AF24" i="11"/>
  <c r="AF263" i="11"/>
  <c r="AF239" i="11"/>
  <c r="AF223" i="11"/>
  <c r="AF199" i="11"/>
  <c r="AF175" i="11"/>
  <c r="AF143" i="11"/>
  <c r="AF119" i="11"/>
  <c r="AF103" i="11"/>
  <c r="AF79" i="11"/>
  <c r="AF55" i="11"/>
  <c r="AF39" i="11"/>
  <c r="AF262" i="11"/>
  <c r="AF238" i="11"/>
  <c r="AF222" i="11"/>
  <c r="AF206" i="11"/>
  <c r="AF190" i="11"/>
  <c r="AF174" i="11"/>
  <c r="AF166" i="11"/>
  <c r="AF150" i="11"/>
  <c r="AF134" i="11"/>
  <c r="AF118" i="11"/>
  <c r="AF110" i="11"/>
  <c r="AF94" i="11"/>
  <c r="AF70" i="11"/>
  <c r="AF54" i="11"/>
  <c r="AF38" i="11"/>
  <c r="AF261" i="11"/>
  <c r="AF266" i="11"/>
  <c r="AF258" i="11"/>
  <c r="AF250" i="11"/>
  <c r="AF242" i="11"/>
  <c r="AF234" i="11"/>
  <c r="AF226" i="11"/>
  <c r="AF218" i="11"/>
  <c r="AF210" i="11"/>
  <c r="AF202" i="11"/>
  <c r="AF186" i="11"/>
  <c r="AF170" i="11"/>
  <c r="AF154" i="11"/>
  <c r="AF146" i="11"/>
  <c r="AF130" i="11"/>
  <c r="AF106" i="11"/>
  <c r="AF82" i="11"/>
  <c r="AF58" i="11"/>
  <c r="AF26" i="11"/>
  <c r="AF257" i="11"/>
  <c r="AF233" i="11"/>
  <c r="AF217" i="11"/>
  <c r="AF193" i="11"/>
  <c r="AF169" i="11"/>
  <c r="AF145" i="11"/>
  <c r="AF121" i="11"/>
  <c r="AF97" i="11"/>
  <c r="AF73" i="11"/>
  <c r="AF49" i="11"/>
  <c r="AF17" i="11"/>
  <c r="AF248" i="11"/>
  <c r="AF232" i="11"/>
  <c r="AF208" i="11"/>
  <c r="AF184" i="11"/>
  <c r="AF160" i="11"/>
  <c r="AF136" i="11"/>
  <c r="AF112" i="11"/>
  <c r="AF96" i="11"/>
  <c r="AF72" i="11"/>
  <c r="AF56" i="11"/>
  <c r="AF32" i="11"/>
  <c r="AD7" i="11"/>
  <c r="AF247" i="11"/>
  <c r="AF231" i="11"/>
  <c r="AF215" i="11"/>
  <c r="AF191" i="11"/>
  <c r="AF167" i="11"/>
  <c r="AF151" i="11"/>
  <c r="AF127" i="11"/>
  <c r="AF111" i="11"/>
  <c r="AF87" i="11"/>
  <c r="AF63" i="11"/>
  <c r="AF31" i="11"/>
  <c r="AF15" i="11"/>
  <c r="AF254" i="11"/>
  <c r="AF246" i="11"/>
  <c r="AF230" i="11"/>
  <c r="AF214" i="11"/>
  <c r="AF198" i="11"/>
  <c r="AF182" i="11"/>
  <c r="AF158" i="11"/>
  <c r="AF142" i="11"/>
  <c r="AF126" i="11"/>
  <c r="AF102" i="11"/>
  <c r="AF86" i="11"/>
  <c r="AF78" i="11"/>
  <c r="AF62" i="11"/>
  <c r="AF46" i="11"/>
  <c r="AF30" i="11"/>
  <c r="AF14" i="11"/>
  <c r="AF253" i="11"/>
  <c r="AF237" i="11"/>
  <c r="AF245" i="11"/>
  <c r="AF173" i="11"/>
  <c r="AF229" i="11"/>
  <c r="AF165" i="11"/>
  <c r="AF101" i="11"/>
  <c r="AF37" i="11"/>
  <c r="AF29" i="11"/>
  <c r="AF117" i="11"/>
  <c r="AF221" i="11"/>
  <c r="AF157" i="11"/>
  <c r="AF93" i="11"/>
  <c r="AF181" i="11"/>
  <c r="AF109" i="11"/>
  <c r="AF213" i="11"/>
  <c r="AF149" i="11"/>
  <c r="AF85" i="11"/>
  <c r="AF21" i="11"/>
  <c r="AF205" i="11"/>
  <c r="AF141" i="11"/>
  <c r="AF77" i="11"/>
  <c r="AF13" i="11"/>
  <c r="AF197" i="11"/>
  <c r="AF133" i="11"/>
  <c r="AF69" i="11"/>
  <c r="AF189" i="11"/>
  <c r="AF125" i="11"/>
  <c r="AF61" i="11"/>
  <c r="AF53" i="11"/>
  <c r="AF45" i="11"/>
  <c r="AB269" i="11"/>
  <c r="AB261" i="11"/>
  <c r="AB253" i="11"/>
  <c r="AB245" i="11"/>
  <c r="AB237" i="11"/>
  <c r="AB229" i="11"/>
  <c r="AB221" i="11"/>
  <c r="AB213" i="11"/>
  <c r="AB205" i="11"/>
  <c r="AB197" i="11"/>
  <c r="AB189" i="11"/>
  <c r="AB181" i="11"/>
  <c r="AB173" i="11"/>
  <c r="AB165" i="11"/>
  <c r="AB157" i="11"/>
  <c r="AB149" i="11"/>
  <c r="AB141" i="11"/>
  <c r="AB133" i="11"/>
  <c r="AB125" i="11"/>
  <c r="AB117" i="11"/>
  <c r="AB109" i="11"/>
  <c r="AB101" i="11"/>
  <c r="AB93" i="11"/>
  <c r="AB85" i="11"/>
  <c r="AB77" i="11"/>
  <c r="AB69" i="11"/>
  <c r="AB61" i="11"/>
  <c r="AB53" i="11"/>
  <c r="AB45" i="11"/>
  <c r="AB37" i="11"/>
  <c r="AB29" i="11"/>
  <c r="AB21" i="11"/>
  <c r="AB13" i="11"/>
  <c r="AB24" i="11"/>
  <c r="AB268" i="11"/>
  <c r="AB260" i="11"/>
  <c r="AB252" i="11"/>
  <c r="AB244" i="11"/>
  <c r="AB236" i="11"/>
  <c r="AB228" i="11"/>
  <c r="AB220" i="11"/>
  <c r="AB212" i="11"/>
  <c r="AB204" i="11"/>
  <c r="AB196" i="11"/>
  <c r="AB188" i="11"/>
  <c r="AB180" i="11"/>
  <c r="AB172" i="11"/>
  <c r="AB164" i="11"/>
  <c r="AB156" i="11"/>
  <c r="AB148" i="11"/>
  <c r="AB140" i="11"/>
  <c r="AB132" i="11"/>
  <c r="AB124" i="11"/>
  <c r="AB116" i="11"/>
  <c r="AB108" i="11"/>
  <c r="AB100" i="11"/>
  <c r="AB92" i="11"/>
  <c r="AB84" i="11"/>
  <c r="AB76" i="11"/>
  <c r="AB68" i="11"/>
  <c r="AB60" i="11"/>
  <c r="AB52" i="11"/>
  <c r="AB44" i="11"/>
  <c r="AB36" i="11"/>
  <c r="AB28" i="11"/>
  <c r="AB20" i="11"/>
  <c r="AB12" i="11"/>
  <c r="AB258" i="11"/>
  <c r="AB250" i="11"/>
  <c r="AB234" i="11"/>
  <c r="AB218" i="11"/>
  <c r="AB202" i="11"/>
  <c r="AB186" i="11"/>
  <c r="AB170" i="11"/>
  <c r="AB154" i="11"/>
  <c r="AB138" i="11"/>
  <c r="AB122" i="11"/>
  <c r="AB106" i="11"/>
  <c r="AB90" i="11"/>
  <c r="AB74" i="11"/>
  <c r="AB58" i="11"/>
  <c r="AB34" i="11"/>
  <c r="AB18" i="11"/>
  <c r="AB265" i="11"/>
  <c r="AB249" i="11"/>
  <c r="AB241" i="11"/>
  <c r="AB225" i="11"/>
  <c r="AB209" i="11"/>
  <c r="AB193" i="11"/>
  <c r="AB177" i="11"/>
  <c r="AB161" i="11"/>
  <c r="AB137" i="11"/>
  <c r="AB121" i="11"/>
  <c r="AB105" i="11"/>
  <c r="AB89" i="11"/>
  <c r="AB81" i="11"/>
  <c r="AB73" i="11"/>
  <c r="AB65" i="11"/>
  <c r="AB57" i="11"/>
  <c r="AB49" i="11"/>
  <c r="AB33" i="11"/>
  <c r="AB17" i="11"/>
  <c r="AB264" i="11"/>
  <c r="AB248" i="11"/>
  <c r="AB232" i="11"/>
  <c r="AB208" i="11"/>
  <c r="AB192" i="11"/>
  <c r="AB168" i="11"/>
  <c r="AB144" i="11"/>
  <c r="AB128" i="11"/>
  <c r="AB112" i="11"/>
  <c r="AB96" i="11"/>
  <c r="AB80" i="11"/>
  <c r="AB72" i="11"/>
  <c r="AB56" i="11"/>
  <c r="AB32" i="11"/>
  <c r="Z7" i="11"/>
  <c r="AB255" i="11"/>
  <c r="AB239" i="11"/>
  <c r="AB267" i="11"/>
  <c r="AB259" i="11"/>
  <c r="AB251" i="11"/>
  <c r="AB243" i="11"/>
  <c r="AB235" i="11"/>
  <c r="AB227" i="11"/>
  <c r="AB219" i="11"/>
  <c r="AB211" i="11"/>
  <c r="AB203" i="11"/>
  <c r="AB195" i="11"/>
  <c r="AB187" i="11"/>
  <c r="AB179" i="11"/>
  <c r="AB171" i="11"/>
  <c r="AB163" i="11"/>
  <c r="AB155" i="11"/>
  <c r="AB147" i="11"/>
  <c r="AB139" i="11"/>
  <c r="AB131" i="11"/>
  <c r="AB123" i="11"/>
  <c r="AB115" i="11"/>
  <c r="AB107" i="11"/>
  <c r="AB99" i="11"/>
  <c r="AB91" i="11"/>
  <c r="AB83" i="11"/>
  <c r="AB75" i="11"/>
  <c r="AB67" i="11"/>
  <c r="AB59" i="11"/>
  <c r="AB51" i="11"/>
  <c r="AB43" i="11"/>
  <c r="AB35" i="11"/>
  <c r="AB27" i="11"/>
  <c r="AB19" i="11"/>
  <c r="AB11" i="11"/>
  <c r="AB266" i="11"/>
  <c r="AB242" i="11"/>
  <c r="AB226" i="11"/>
  <c r="AB210" i="11"/>
  <c r="AB194" i="11"/>
  <c r="AB178" i="11"/>
  <c r="AB162" i="11"/>
  <c r="AB146" i="11"/>
  <c r="AB130" i="11"/>
  <c r="AB114" i="11"/>
  <c r="AB98" i="11"/>
  <c r="AB82" i="11"/>
  <c r="AB66" i="11"/>
  <c r="AB50" i="11"/>
  <c r="AB42" i="11"/>
  <c r="AB26" i="11"/>
  <c r="AB10" i="11"/>
  <c r="AB257" i="11"/>
  <c r="AB233" i="11"/>
  <c r="AB217" i="11"/>
  <c r="AB201" i="11"/>
  <c r="AB185" i="11"/>
  <c r="AB169" i="11"/>
  <c r="AB153" i="11"/>
  <c r="AB145" i="11"/>
  <c r="AB129" i="11"/>
  <c r="AB113" i="11"/>
  <c r="AB97" i="11"/>
  <c r="AB41" i="11"/>
  <c r="AB25" i="11"/>
  <c r="AB9" i="11"/>
  <c r="AB256" i="11"/>
  <c r="AB240" i="11"/>
  <c r="AB224" i="11"/>
  <c r="AB216" i="11"/>
  <c r="AB200" i="11"/>
  <c r="AB184" i="11"/>
  <c r="AB176" i="11"/>
  <c r="AB160" i="11"/>
  <c r="AB152" i="11"/>
  <c r="AB136" i="11"/>
  <c r="AB120" i="11"/>
  <c r="AB104" i="11"/>
  <c r="AB88" i="11"/>
  <c r="AB64" i="11"/>
  <c r="AB48" i="11"/>
  <c r="AB40" i="11"/>
  <c r="AB16" i="11"/>
  <c r="AB263" i="11"/>
  <c r="AB223" i="11"/>
  <c r="AB262" i="11"/>
  <c r="AB215" i="11"/>
  <c r="AB183" i="11"/>
  <c r="AB151" i="11"/>
  <c r="AB119" i="11"/>
  <c r="AB87" i="11"/>
  <c r="AB55" i="11"/>
  <c r="AB23" i="11"/>
  <c r="AB254" i="11"/>
  <c r="AB214" i="11"/>
  <c r="AB182" i="11"/>
  <c r="AB150" i="11"/>
  <c r="AB118" i="11"/>
  <c r="AB86" i="11"/>
  <c r="AB54" i="11"/>
  <c r="AB22" i="11"/>
  <c r="AB247" i="11"/>
  <c r="AB207" i="11"/>
  <c r="AB175" i="11"/>
  <c r="AB143" i="11"/>
  <c r="AB111" i="11"/>
  <c r="AB79" i="11"/>
  <c r="AB15" i="11"/>
  <c r="AB246" i="11"/>
  <c r="AB206" i="11"/>
  <c r="AB174" i="11"/>
  <c r="AB142" i="11"/>
  <c r="AB110" i="11"/>
  <c r="AB46" i="11"/>
  <c r="AB14" i="11"/>
  <c r="AB199" i="11"/>
  <c r="AB167" i="11"/>
  <c r="AB135" i="11"/>
  <c r="AB71" i="11"/>
  <c r="AB39" i="11"/>
  <c r="AB231" i="11"/>
  <c r="AB198" i="11"/>
  <c r="AB166" i="11"/>
  <c r="AB134" i="11"/>
  <c r="AB102" i="11"/>
  <c r="AB70" i="11"/>
  <c r="AB38" i="11"/>
  <c r="AB230" i="11"/>
  <c r="AB191" i="11"/>
  <c r="AB159" i="11"/>
  <c r="AB127" i="11"/>
  <c r="AB95" i="11"/>
  <c r="AB63" i="11"/>
  <c r="AB31" i="11"/>
  <c r="AB222" i="11"/>
  <c r="AB158" i="11"/>
  <c r="AB126" i="11"/>
  <c r="AB94" i="11"/>
  <c r="AB62" i="11"/>
  <c r="AB30" i="11"/>
  <c r="AB47" i="11"/>
  <c r="AB78" i="11"/>
  <c r="AB238" i="11"/>
  <c r="AB103" i="11"/>
  <c r="AB190" i="11"/>
  <c r="V7" i="11"/>
  <c r="X269" i="11"/>
  <c r="X261" i="11"/>
  <c r="X253" i="11"/>
  <c r="X245" i="11"/>
  <c r="X237" i="11"/>
  <c r="X229" i="11"/>
  <c r="X221" i="11"/>
  <c r="X213" i="11"/>
  <c r="X205" i="11"/>
  <c r="X197" i="11"/>
  <c r="X189" i="11"/>
  <c r="X181" i="11"/>
  <c r="X173" i="11"/>
  <c r="X165" i="11"/>
  <c r="X157" i="11"/>
  <c r="X149" i="11"/>
  <c r="X141" i="11"/>
  <c r="X133" i="11"/>
  <c r="X125" i="11"/>
  <c r="X117" i="11"/>
  <c r="X109" i="11"/>
  <c r="X101" i="11"/>
  <c r="X93" i="11"/>
  <c r="X85" i="11"/>
  <c r="X77" i="11"/>
  <c r="X69" i="11"/>
  <c r="X61" i="11"/>
  <c r="X53" i="11"/>
  <c r="X45" i="11"/>
  <c r="X37" i="11"/>
  <c r="X29" i="11"/>
  <c r="X21" i="11"/>
  <c r="X13" i="11"/>
  <c r="X268" i="11"/>
  <c r="X260" i="11"/>
  <c r="X252" i="11"/>
  <c r="X244" i="11"/>
  <c r="X236" i="11"/>
  <c r="X228" i="11"/>
  <c r="X220" i="11"/>
  <c r="X212" i="11"/>
  <c r="X204" i="11"/>
  <c r="X196" i="11"/>
  <c r="X188" i="11"/>
  <c r="X180" i="11"/>
  <c r="X172" i="11"/>
  <c r="X164" i="11"/>
  <c r="X156" i="11"/>
  <c r="X148" i="11"/>
  <c r="X140" i="11"/>
  <c r="X132" i="11"/>
  <c r="X124" i="11"/>
  <c r="X116" i="11"/>
  <c r="X108" i="11"/>
  <c r="X100" i="11"/>
  <c r="X92" i="11"/>
  <c r="X84" i="11"/>
  <c r="X76" i="11"/>
  <c r="X68" i="11"/>
  <c r="X60" i="11"/>
  <c r="X52" i="11"/>
  <c r="X44" i="11"/>
  <c r="X36" i="11"/>
  <c r="X28" i="11"/>
  <c r="X20" i="11"/>
  <c r="X12" i="11"/>
  <c r="X265" i="11"/>
  <c r="X241" i="11"/>
  <c r="X225" i="11"/>
  <c r="X209" i="11"/>
  <c r="X193" i="11"/>
  <c r="X177" i="11"/>
  <c r="X161" i="11"/>
  <c r="X153" i="11"/>
  <c r="X137" i="11"/>
  <c r="X121" i="11"/>
  <c r="X105" i="11"/>
  <c r="X89" i="11"/>
  <c r="X73" i="11"/>
  <c r="X57" i="11"/>
  <c r="X41" i="11"/>
  <c r="X25" i="11"/>
  <c r="X9" i="11"/>
  <c r="X256" i="11"/>
  <c r="X240" i="11"/>
  <c r="X267" i="11"/>
  <c r="X259" i="11"/>
  <c r="X251" i="11"/>
  <c r="X243" i="11"/>
  <c r="X235" i="11"/>
  <c r="X227" i="11"/>
  <c r="X219" i="11"/>
  <c r="X211" i="11"/>
  <c r="X203" i="11"/>
  <c r="X195" i="11"/>
  <c r="X187" i="11"/>
  <c r="X179" i="11"/>
  <c r="X171" i="11"/>
  <c r="X163" i="11"/>
  <c r="X155" i="11"/>
  <c r="X147" i="11"/>
  <c r="X139" i="11"/>
  <c r="X131" i="11"/>
  <c r="X123" i="11"/>
  <c r="X115" i="11"/>
  <c r="X107" i="11"/>
  <c r="X99" i="11"/>
  <c r="X91" i="11"/>
  <c r="X83" i="11"/>
  <c r="X75" i="11"/>
  <c r="X67" i="11"/>
  <c r="X59" i="11"/>
  <c r="X51" i="11"/>
  <c r="X43" i="11"/>
  <c r="X35" i="11"/>
  <c r="X27" i="11"/>
  <c r="X19" i="11"/>
  <c r="X11" i="11"/>
  <c r="X266" i="11"/>
  <c r="X258" i="11"/>
  <c r="X250" i="11"/>
  <c r="X242" i="11"/>
  <c r="X234" i="11"/>
  <c r="X226" i="11"/>
  <c r="X218" i="11"/>
  <c r="X210" i="11"/>
  <c r="X202" i="11"/>
  <c r="X194" i="11"/>
  <c r="X186" i="11"/>
  <c r="X178" i="11"/>
  <c r="X170" i="11"/>
  <c r="X162" i="11"/>
  <c r="X154" i="11"/>
  <c r="X146" i="11"/>
  <c r="X138" i="11"/>
  <c r="X130" i="11"/>
  <c r="X122" i="11"/>
  <c r="X114" i="11"/>
  <c r="X106" i="11"/>
  <c r="X98" i="11"/>
  <c r="X90" i="11"/>
  <c r="X82" i="11"/>
  <c r="X74" i="11"/>
  <c r="X66" i="11"/>
  <c r="X58" i="11"/>
  <c r="X50" i="11"/>
  <c r="X42" i="11"/>
  <c r="X34" i="11"/>
  <c r="X26" i="11"/>
  <c r="X18" i="11"/>
  <c r="X10" i="11"/>
  <c r="X257" i="11"/>
  <c r="X249" i="11"/>
  <c r="X233" i="11"/>
  <c r="X217" i="11"/>
  <c r="X201" i="11"/>
  <c r="X185" i="11"/>
  <c r="X169" i="11"/>
  <c r="X145" i="11"/>
  <c r="X129" i="11"/>
  <c r="X113" i="11"/>
  <c r="X97" i="11"/>
  <c r="X81" i="11"/>
  <c r="X65" i="11"/>
  <c r="X49" i="11"/>
  <c r="X33" i="11"/>
  <c r="X17" i="11"/>
  <c r="X264" i="11"/>
  <c r="X248" i="11"/>
  <c r="X232" i="11"/>
  <c r="X263" i="11"/>
  <c r="X231" i="11"/>
  <c r="X208" i="11"/>
  <c r="X190" i="11"/>
  <c r="X167" i="11"/>
  <c r="X144" i="11"/>
  <c r="X126" i="11"/>
  <c r="X103" i="11"/>
  <c r="X80" i="11"/>
  <c r="X62" i="11"/>
  <c r="X39" i="11"/>
  <c r="X16" i="11"/>
  <c r="X224" i="11"/>
  <c r="X160" i="11"/>
  <c r="X119" i="11"/>
  <c r="X78" i="11"/>
  <c r="X32" i="11"/>
  <c r="X254" i="11"/>
  <c r="X200" i="11"/>
  <c r="X136" i="11"/>
  <c r="X95" i="11"/>
  <c r="X54" i="11"/>
  <c r="X222" i="11"/>
  <c r="X176" i="11"/>
  <c r="X135" i="11"/>
  <c r="X94" i="11"/>
  <c r="X48" i="11"/>
  <c r="X110" i="11"/>
  <c r="X23" i="11"/>
  <c r="X214" i="11"/>
  <c r="X150" i="11"/>
  <c r="X104" i="11"/>
  <c r="X63" i="11"/>
  <c r="X22" i="11"/>
  <c r="X262" i="11"/>
  <c r="X230" i="11"/>
  <c r="X207" i="11"/>
  <c r="X184" i="11"/>
  <c r="X166" i="11"/>
  <c r="X143" i="11"/>
  <c r="X120" i="11"/>
  <c r="X102" i="11"/>
  <c r="X79" i="11"/>
  <c r="X56" i="11"/>
  <c r="X38" i="11"/>
  <c r="X15" i="11"/>
  <c r="X255" i="11"/>
  <c r="X206" i="11"/>
  <c r="X183" i="11"/>
  <c r="X142" i="11"/>
  <c r="X96" i="11"/>
  <c r="X55" i="11"/>
  <c r="X14" i="11"/>
  <c r="X223" i="11"/>
  <c r="X182" i="11"/>
  <c r="X159" i="11"/>
  <c r="X118" i="11"/>
  <c r="X72" i="11"/>
  <c r="X31" i="11"/>
  <c r="X247" i="11"/>
  <c r="X199" i="11"/>
  <c r="X158" i="11"/>
  <c r="X112" i="11"/>
  <c r="X71" i="11"/>
  <c r="X30" i="11"/>
  <c r="X246" i="11"/>
  <c r="X216" i="11"/>
  <c r="X198" i="11"/>
  <c r="X175" i="11"/>
  <c r="X152" i="11"/>
  <c r="X134" i="11"/>
  <c r="X111" i="11"/>
  <c r="X88" i="11"/>
  <c r="X70" i="11"/>
  <c r="X47" i="11"/>
  <c r="X24" i="11"/>
  <c r="X239" i="11"/>
  <c r="X215" i="11"/>
  <c r="X192" i="11"/>
  <c r="X174" i="11"/>
  <c r="X151" i="11"/>
  <c r="X128" i="11"/>
  <c r="X87" i="11"/>
  <c r="X64" i="11"/>
  <c r="X46" i="11"/>
  <c r="X238" i="11"/>
  <c r="X191" i="11"/>
  <c r="X168" i="11"/>
  <c r="X127" i="11"/>
  <c r="X86" i="11"/>
  <c r="X40" i="11"/>
  <c r="T267" i="11"/>
  <c r="T259" i="11"/>
  <c r="T251" i="11"/>
  <c r="T243" i="11"/>
  <c r="T235" i="11"/>
  <c r="T227" i="11"/>
  <c r="T219" i="11"/>
  <c r="T211" i="11"/>
  <c r="T203" i="11"/>
  <c r="T195" i="11"/>
  <c r="T187" i="11"/>
  <c r="T179" i="11"/>
  <c r="T171" i="11"/>
  <c r="T163" i="11"/>
  <c r="T155" i="11"/>
  <c r="T147" i="11"/>
  <c r="T139" i="11"/>
  <c r="T131" i="11"/>
  <c r="T123" i="11"/>
  <c r="T115" i="11"/>
  <c r="T107" i="11"/>
  <c r="T99" i="11"/>
  <c r="T91" i="11"/>
  <c r="T83" i="11"/>
  <c r="T75" i="11"/>
  <c r="T67" i="11"/>
  <c r="T59" i="11"/>
  <c r="T51" i="11"/>
  <c r="T43" i="11"/>
  <c r="T35" i="11"/>
  <c r="T27" i="11"/>
  <c r="T19" i="11"/>
  <c r="T11" i="11"/>
  <c r="T10" i="11"/>
  <c r="T265" i="11"/>
  <c r="T241" i="11"/>
  <c r="T225" i="11"/>
  <c r="T209" i="11"/>
  <c r="T193" i="11"/>
  <c r="T177" i="11"/>
  <c r="T169" i="11"/>
  <c r="T153" i="11"/>
  <c r="T137" i="11"/>
  <c r="T121" i="11"/>
  <c r="T113" i="11"/>
  <c r="T97" i="11"/>
  <c r="T81" i="11"/>
  <c r="T65" i="11"/>
  <c r="T49" i="11"/>
  <c r="T41" i="11"/>
  <c r="T25" i="11"/>
  <c r="T9" i="11"/>
  <c r="T256" i="11"/>
  <c r="T240" i="11"/>
  <c r="T224" i="11"/>
  <c r="T208" i="11"/>
  <c r="T192" i="11"/>
  <c r="T176" i="11"/>
  <c r="T160" i="11"/>
  <c r="T144" i="11"/>
  <c r="T120" i="11"/>
  <c r="T112" i="11"/>
  <c r="T96" i="11"/>
  <c r="T80" i="11"/>
  <c r="T64" i="11"/>
  <c r="T48" i="11"/>
  <c r="T32" i="11"/>
  <c r="T24" i="11"/>
  <c r="T263" i="11"/>
  <c r="T247" i="11"/>
  <c r="T231" i="11"/>
  <c r="T215" i="11"/>
  <c r="T207" i="11"/>
  <c r="T191" i="11"/>
  <c r="T175" i="11"/>
  <c r="T159" i="11"/>
  <c r="T143" i="11"/>
  <c r="T127" i="11"/>
  <c r="T111" i="11"/>
  <c r="T87" i="11"/>
  <c r="T71" i="11"/>
  <c r="T55" i="11"/>
  <c r="T39" i="11"/>
  <c r="T23" i="11"/>
  <c r="T266" i="11"/>
  <c r="T258" i="11"/>
  <c r="T250" i="11"/>
  <c r="T242" i="11"/>
  <c r="T234" i="11"/>
  <c r="T226" i="11"/>
  <c r="T218" i="11"/>
  <c r="T210" i="11"/>
  <c r="T202" i="11"/>
  <c r="T194" i="11"/>
  <c r="T186" i="11"/>
  <c r="T178" i="11"/>
  <c r="T170" i="11"/>
  <c r="T162" i="11"/>
  <c r="T154" i="11"/>
  <c r="T146" i="11"/>
  <c r="T138" i="11"/>
  <c r="T130" i="11"/>
  <c r="T122" i="11"/>
  <c r="T114" i="11"/>
  <c r="T106" i="11"/>
  <c r="T98" i="11"/>
  <c r="T90" i="11"/>
  <c r="T82" i="11"/>
  <c r="T74" i="11"/>
  <c r="T66" i="11"/>
  <c r="T58" i="11"/>
  <c r="T50" i="11"/>
  <c r="T42" i="11"/>
  <c r="T34" i="11"/>
  <c r="T26" i="11"/>
  <c r="T18" i="11"/>
  <c r="T257" i="11"/>
  <c r="T249" i="11"/>
  <c r="T233" i="11"/>
  <c r="T217" i="11"/>
  <c r="T201" i="11"/>
  <c r="T185" i="11"/>
  <c r="T161" i="11"/>
  <c r="T145" i="11"/>
  <c r="T129" i="11"/>
  <c r="T105" i="11"/>
  <c r="T89" i="11"/>
  <c r="T73" i="11"/>
  <c r="T57" i="11"/>
  <c r="T33" i="11"/>
  <c r="T17" i="11"/>
  <c r="T264" i="11"/>
  <c r="T248" i="11"/>
  <c r="T232" i="11"/>
  <c r="T216" i="11"/>
  <c r="T200" i="11"/>
  <c r="T184" i="11"/>
  <c r="T168" i="11"/>
  <c r="T152" i="11"/>
  <c r="T136" i="11"/>
  <c r="T128" i="11"/>
  <c r="T104" i="11"/>
  <c r="T88" i="11"/>
  <c r="T72" i="11"/>
  <c r="T56" i="11"/>
  <c r="T40" i="11"/>
  <c r="T16" i="11"/>
  <c r="T255" i="11"/>
  <c r="T239" i="11"/>
  <c r="T223" i="11"/>
  <c r="T199" i="11"/>
  <c r="T183" i="11"/>
  <c r="T167" i="11"/>
  <c r="T151" i="11"/>
  <c r="T135" i="11"/>
  <c r="T119" i="11"/>
  <c r="T103" i="11"/>
  <c r="T95" i="11"/>
  <c r="T79" i="11"/>
  <c r="T63" i="11"/>
  <c r="T47" i="11"/>
  <c r="T31" i="11"/>
  <c r="T15" i="11"/>
  <c r="T262" i="11"/>
  <c r="T254" i="11"/>
  <c r="T246" i="11"/>
  <c r="T238" i="11"/>
  <c r="T230" i="11"/>
  <c r="T222" i="11"/>
  <c r="T268" i="11"/>
  <c r="T236" i="11"/>
  <c r="T206" i="11"/>
  <c r="T188" i="11"/>
  <c r="T165" i="11"/>
  <c r="T142" i="11"/>
  <c r="T124" i="11"/>
  <c r="T101" i="11"/>
  <c r="T78" i="11"/>
  <c r="T60" i="11"/>
  <c r="T37" i="11"/>
  <c r="T14" i="11"/>
  <c r="T261" i="11"/>
  <c r="T229" i="11"/>
  <c r="T205" i="11"/>
  <c r="T182" i="11"/>
  <c r="T164" i="11"/>
  <c r="T141" i="11"/>
  <c r="T118" i="11"/>
  <c r="T100" i="11"/>
  <c r="T77" i="11"/>
  <c r="T54" i="11"/>
  <c r="T36" i="11"/>
  <c r="T13" i="11"/>
  <c r="T260" i="11"/>
  <c r="T228" i="11"/>
  <c r="T204" i="11"/>
  <c r="T181" i="11"/>
  <c r="T158" i="11"/>
  <c r="T140" i="11"/>
  <c r="T117" i="11"/>
  <c r="T94" i="11"/>
  <c r="T76" i="11"/>
  <c r="T53" i="11"/>
  <c r="T30" i="11"/>
  <c r="T12" i="11"/>
  <c r="T253" i="11"/>
  <c r="T221" i="11"/>
  <c r="T198" i="11"/>
  <c r="T180" i="11"/>
  <c r="T157" i="11"/>
  <c r="T134" i="11"/>
  <c r="T116" i="11"/>
  <c r="T93" i="11"/>
  <c r="T70" i="11"/>
  <c r="T52" i="11"/>
  <c r="T29" i="11"/>
  <c r="T252" i="11"/>
  <c r="T220" i="11"/>
  <c r="T197" i="11"/>
  <c r="T174" i="11"/>
  <c r="T156" i="11"/>
  <c r="T133" i="11"/>
  <c r="T110" i="11"/>
  <c r="T92" i="11"/>
  <c r="T69" i="11"/>
  <c r="T46" i="11"/>
  <c r="T28" i="11"/>
  <c r="T245" i="11"/>
  <c r="T214" i="11"/>
  <c r="T196" i="11"/>
  <c r="T173" i="11"/>
  <c r="T150" i="11"/>
  <c r="T132" i="11"/>
  <c r="T109" i="11"/>
  <c r="T86" i="11"/>
  <c r="T68" i="11"/>
  <c r="T45" i="11"/>
  <c r="T22" i="11"/>
  <c r="T244" i="11"/>
  <c r="T213" i="11"/>
  <c r="T190" i="11"/>
  <c r="T172" i="11"/>
  <c r="T149" i="11"/>
  <c r="T126" i="11"/>
  <c r="T108" i="11"/>
  <c r="T85" i="11"/>
  <c r="T62" i="11"/>
  <c r="T44" i="11"/>
  <c r="T21" i="11"/>
  <c r="T269" i="11"/>
  <c r="T237" i="11"/>
  <c r="T212" i="11"/>
  <c r="T189" i="11"/>
  <c r="T166" i="11"/>
  <c r="T148" i="11"/>
  <c r="T102" i="11"/>
  <c r="T84" i="11"/>
  <c r="T61" i="11"/>
  <c r="T38" i="11"/>
  <c r="T125" i="11"/>
  <c r="T20" i="11"/>
  <c r="R7" i="11"/>
  <c r="B7" i="11"/>
  <c r="I10" i="9"/>
  <c r="I11" i="9"/>
  <c r="I12" i="9"/>
  <c r="I13" i="9"/>
  <c r="I9" i="9"/>
  <c r="H10" i="9"/>
  <c r="H11" i="9"/>
  <c r="H12" i="9"/>
  <c r="H13" i="9"/>
  <c r="H9" i="9"/>
  <c r="N7" i="11" a="1"/>
  <c r="G4" i="21" l="1"/>
  <c r="G7" i="21" s="1"/>
  <c r="G8" i="21" s="1"/>
  <c r="G9" i="21" s="1"/>
  <c r="O20" i="19"/>
  <c r="O28" i="19" s="1"/>
  <c r="O31" i="19" s="1"/>
  <c r="O33" i="19" s="1"/>
  <c r="O19" i="19"/>
  <c r="O17" i="19"/>
  <c r="O18" i="19"/>
  <c r="O22" i="19"/>
  <c r="O21" i="19"/>
  <c r="P20" i="19"/>
  <c r="P26" i="19" s="1"/>
  <c r="P28" i="19" s="1"/>
  <c r="P31" i="19" s="1"/>
  <c r="P33" i="19" s="1"/>
  <c r="P21" i="19"/>
  <c r="P18" i="19"/>
  <c r="P22" i="19"/>
  <c r="P19" i="19"/>
  <c r="P17" i="19"/>
  <c r="Q26" i="19"/>
  <c r="Q31" i="19"/>
  <c r="Q33" i="19" s="1"/>
  <c r="H12" i="11"/>
  <c r="H20" i="11"/>
  <c r="H28" i="11"/>
  <c r="H36" i="11"/>
  <c r="H44" i="11"/>
  <c r="H52" i="11"/>
  <c r="H60" i="11"/>
  <c r="H68" i="11"/>
  <c r="H76" i="11"/>
  <c r="H84" i="11"/>
  <c r="H92" i="11"/>
  <c r="H100" i="11"/>
  <c r="H108" i="11"/>
  <c r="H116" i="11"/>
  <c r="H124" i="11"/>
  <c r="H132" i="11"/>
  <c r="H140" i="11"/>
  <c r="H148" i="11"/>
  <c r="H156" i="11"/>
  <c r="H164" i="11"/>
  <c r="H172" i="11"/>
  <c r="H180" i="11"/>
  <c r="H188" i="11"/>
  <c r="H196" i="11"/>
  <c r="H204" i="11"/>
  <c r="H212" i="11"/>
  <c r="H220" i="11"/>
  <c r="H228" i="11"/>
  <c r="H236" i="11"/>
  <c r="H244" i="11"/>
  <c r="H252" i="11"/>
  <c r="H260" i="11"/>
  <c r="H268" i="11"/>
  <c r="H77" i="11"/>
  <c r="H117" i="11"/>
  <c r="H133" i="11"/>
  <c r="H157" i="11"/>
  <c r="H173" i="11"/>
  <c r="H189" i="11"/>
  <c r="H205" i="11"/>
  <c r="H221" i="11"/>
  <c r="H237" i="11"/>
  <c r="H253" i="11"/>
  <c r="H269" i="11"/>
  <c r="H214" i="11"/>
  <c r="H246" i="11"/>
  <c r="H13" i="11"/>
  <c r="H21" i="11"/>
  <c r="H29" i="11"/>
  <c r="H37" i="11"/>
  <c r="H45" i="11"/>
  <c r="H53" i="11"/>
  <c r="H61" i="11"/>
  <c r="H69" i="11"/>
  <c r="H85" i="11"/>
  <c r="H93" i="11"/>
  <c r="H101" i="11"/>
  <c r="H109" i="11"/>
  <c r="H125" i="11"/>
  <c r="H141" i="11"/>
  <c r="H149" i="11"/>
  <c r="H165" i="11"/>
  <c r="H181" i="11"/>
  <c r="H197" i="11"/>
  <c r="H213" i="11"/>
  <c r="H229" i="11"/>
  <c r="H245" i="11"/>
  <c r="H261" i="11"/>
  <c r="H230" i="11"/>
  <c r="H254" i="11"/>
  <c r="H9" i="11"/>
  <c r="H15" i="11"/>
  <c r="H31" i="11"/>
  <c r="H47" i="11"/>
  <c r="H63" i="11"/>
  <c r="H87" i="11"/>
  <c r="H111" i="11"/>
  <c r="H127" i="11"/>
  <c r="H14" i="11"/>
  <c r="H22" i="11"/>
  <c r="H30" i="11"/>
  <c r="H38" i="11"/>
  <c r="H46" i="11"/>
  <c r="H54" i="11"/>
  <c r="H62" i="11"/>
  <c r="H70" i="11"/>
  <c r="H78" i="11"/>
  <c r="H86" i="11"/>
  <c r="H94" i="11"/>
  <c r="H102" i="11"/>
  <c r="H110" i="11"/>
  <c r="H118" i="11"/>
  <c r="H126" i="11"/>
  <c r="H134" i="11"/>
  <c r="H142" i="11"/>
  <c r="H150" i="11"/>
  <c r="H158" i="11"/>
  <c r="H166" i="11"/>
  <c r="H174" i="11"/>
  <c r="H182" i="11"/>
  <c r="H190" i="11"/>
  <c r="H198" i="11"/>
  <c r="H206" i="11"/>
  <c r="H222" i="11"/>
  <c r="H238" i="11"/>
  <c r="H262" i="11"/>
  <c r="H23" i="11"/>
  <c r="H39" i="11"/>
  <c r="H55" i="11"/>
  <c r="H71" i="11"/>
  <c r="H79" i="11"/>
  <c r="H95" i="11"/>
  <c r="H103" i="11"/>
  <c r="H18" i="11"/>
  <c r="H34" i="11"/>
  <c r="H50" i="11"/>
  <c r="H66" i="11"/>
  <c r="H82" i="11"/>
  <c r="H98" i="11"/>
  <c r="H114" i="11"/>
  <c r="H129" i="11"/>
  <c r="H143" i="11"/>
  <c r="H154" i="11"/>
  <c r="H168" i="11"/>
  <c r="H179" i="11"/>
  <c r="H193" i="11"/>
  <c r="H207" i="11"/>
  <c r="H218" i="11"/>
  <c r="H232" i="11"/>
  <c r="H243" i="11"/>
  <c r="H257" i="11"/>
  <c r="H19" i="11"/>
  <c r="H51" i="11"/>
  <c r="H83" i="11"/>
  <c r="H115" i="11"/>
  <c r="H144" i="11"/>
  <c r="H155" i="11"/>
  <c r="H183" i="11"/>
  <c r="H208" i="11"/>
  <c r="H233" i="11"/>
  <c r="H258" i="11"/>
  <c r="H40" i="11"/>
  <c r="H72" i="11"/>
  <c r="H104" i="11"/>
  <c r="H145" i="11"/>
  <c r="H159" i="11"/>
  <c r="H184" i="11"/>
  <c r="H209" i="11"/>
  <c r="H234" i="11"/>
  <c r="H259" i="11"/>
  <c r="H35" i="11"/>
  <c r="H67" i="11"/>
  <c r="H99" i="11"/>
  <c r="H130" i="11"/>
  <c r="H169" i="11"/>
  <c r="H194" i="11"/>
  <c r="H219" i="11"/>
  <c r="H247" i="11"/>
  <c r="H24" i="11"/>
  <c r="H56" i="11"/>
  <c r="H88" i="11"/>
  <c r="H119" i="11"/>
  <c r="H131" i="11"/>
  <c r="H170" i="11"/>
  <c r="H195" i="11"/>
  <c r="H223" i="11"/>
  <c r="H248" i="11"/>
  <c r="H26" i="11"/>
  <c r="H49" i="11"/>
  <c r="H75" i="11"/>
  <c r="H105" i="11"/>
  <c r="H123" i="11"/>
  <c r="H147" i="11"/>
  <c r="H167" i="11"/>
  <c r="H187" i="11"/>
  <c r="H210" i="11"/>
  <c r="H227" i="11"/>
  <c r="H250" i="11"/>
  <c r="H267" i="11"/>
  <c r="H27" i="11"/>
  <c r="H57" i="11"/>
  <c r="H80" i="11"/>
  <c r="H106" i="11"/>
  <c r="H128" i="11"/>
  <c r="H151" i="11"/>
  <c r="H171" i="11"/>
  <c r="H191" i="11"/>
  <c r="H211" i="11"/>
  <c r="H231" i="11"/>
  <c r="H251" i="11"/>
  <c r="H32" i="11"/>
  <c r="H58" i="11"/>
  <c r="H81" i="11"/>
  <c r="H107" i="11"/>
  <c r="H135" i="11"/>
  <c r="H152" i="11"/>
  <c r="H175" i="11"/>
  <c r="H192" i="11"/>
  <c r="H215" i="11"/>
  <c r="H235" i="11"/>
  <c r="H255" i="11"/>
  <c r="H10" i="11"/>
  <c r="H33" i="11"/>
  <c r="H59" i="11"/>
  <c r="H89" i="11"/>
  <c r="H112" i="11"/>
  <c r="H136" i="11"/>
  <c r="H153" i="11"/>
  <c r="H176" i="11"/>
  <c r="H199" i="11"/>
  <c r="H216" i="11"/>
  <c r="H239" i="11"/>
  <c r="H256" i="11"/>
  <c r="H11" i="11"/>
  <c r="H41" i="11"/>
  <c r="H64" i="11"/>
  <c r="H90" i="11"/>
  <c r="H113" i="11"/>
  <c r="H137" i="11"/>
  <c r="H160" i="11"/>
  <c r="H177" i="11"/>
  <c r="H200" i="11"/>
  <c r="H217" i="11"/>
  <c r="H240" i="11"/>
  <c r="H263" i="11"/>
  <c r="H16" i="11"/>
  <c r="H42" i="11"/>
  <c r="H65" i="11"/>
  <c r="H91" i="11"/>
  <c r="H120" i="11"/>
  <c r="H138" i="11"/>
  <c r="H161" i="11"/>
  <c r="H178" i="11"/>
  <c r="H201" i="11"/>
  <c r="H224" i="11"/>
  <c r="H241" i="11"/>
  <c r="H264" i="11"/>
  <c r="H17" i="11"/>
  <c r="H43" i="11"/>
  <c r="H73" i="11"/>
  <c r="H96" i="11"/>
  <c r="H121" i="11"/>
  <c r="H139" i="11"/>
  <c r="H162" i="11"/>
  <c r="H185" i="11"/>
  <c r="H202" i="11"/>
  <c r="H225" i="11"/>
  <c r="H242" i="11"/>
  <c r="H265" i="11"/>
  <c r="H25" i="11"/>
  <c r="H48" i="11"/>
  <c r="H74" i="11"/>
  <c r="H97" i="11"/>
  <c r="H122" i="11"/>
  <c r="H146" i="11"/>
  <c r="H163" i="11"/>
  <c r="H186" i="11"/>
  <c r="H203" i="11"/>
  <c r="H226" i="11"/>
  <c r="H249" i="11"/>
  <c r="H266" i="11"/>
  <c r="P17" i="11"/>
  <c r="P25" i="11"/>
  <c r="P33" i="11"/>
  <c r="P41" i="11"/>
  <c r="P49" i="11"/>
  <c r="P57" i="11"/>
  <c r="P65" i="11"/>
  <c r="P73" i="11"/>
  <c r="P81" i="11"/>
  <c r="P89" i="11"/>
  <c r="P97" i="11"/>
  <c r="P105" i="11"/>
  <c r="P113" i="11"/>
  <c r="P121" i="11"/>
  <c r="P129" i="11"/>
  <c r="P137" i="11"/>
  <c r="P145" i="11"/>
  <c r="P153" i="11"/>
  <c r="P161" i="11"/>
  <c r="P169" i="11"/>
  <c r="P177" i="11"/>
  <c r="P185" i="11"/>
  <c r="P193" i="11"/>
  <c r="P201" i="11"/>
  <c r="P209" i="11"/>
  <c r="P217" i="11"/>
  <c r="P225" i="11"/>
  <c r="P233" i="11"/>
  <c r="P241" i="11"/>
  <c r="P249" i="11"/>
  <c r="P257" i="11"/>
  <c r="P265" i="11"/>
  <c r="P10" i="11"/>
  <c r="P18" i="11"/>
  <c r="P26" i="11"/>
  <c r="P34" i="11"/>
  <c r="P42" i="11"/>
  <c r="P50" i="11"/>
  <c r="P58" i="11"/>
  <c r="P66" i="11"/>
  <c r="P74" i="11"/>
  <c r="P82" i="11"/>
  <c r="P90" i="11"/>
  <c r="P98" i="11"/>
  <c r="P106" i="11"/>
  <c r="P114" i="11"/>
  <c r="P122" i="11"/>
  <c r="P130" i="11"/>
  <c r="P138" i="11"/>
  <c r="P146" i="11"/>
  <c r="P154" i="11"/>
  <c r="P162" i="11"/>
  <c r="P170" i="11"/>
  <c r="P178" i="11"/>
  <c r="P186" i="11"/>
  <c r="P194" i="11"/>
  <c r="P202" i="11"/>
  <c r="P210" i="11"/>
  <c r="P218" i="11"/>
  <c r="P226" i="11"/>
  <c r="P234" i="11"/>
  <c r="P242" i="11"/>
  <c r="P250" i="11"/>
  <c r="P258" i="11"/>
  <c r="P266" i="11"/>
  <c r="P28" i="11"/>
  <c r="P52" i="11"/>
  <c r="P68" i="11"/>
  <c r="P84" i="11"/>
  <c r="P100" i="11"/>
  <c r="P124" i="11"/>
  <c r="P140" i="11"/>
  <c r="P156" i="11"/>
  <c r="P172" i="11"/>
  <c r="P188" i="11"/>
  <c r="P204" i="11"/>
  <c r="P220" i="11"/>
  <c r="P236" i="11"/>
  <c r="P252" i="11"/>
  <c r="P268" i="11"/>
  <c r="P11" i="11"/>
  <c r="P19" i="11"/>
  <c r="P27" i="11"/>
  <c r="P35" i="11"/>
  <c r="P43" i="11"/>
  <c r="P51" i="11"/>
  <c r="P59" i="11"/>
  <c r="P67" i="11"/>
  <c r="P75" i="11"/>
  <c r="P83" i="11"/>
  <c r="P91" i="11"/>
  <c r="P99" i="11"/>
  <c r="P107" i="11"/>
  <c r="P115" i="11"/>
  <c r="P123" i="11"/>
  <c r="P131" i="11"/>
  <c r="P139" i="11"/>
  <c r="P147" i="11"/>
  <c r="P155" i="11"/>
  <c r="P163" i="11"/>
  <c r="P171" i="11"/>
  <c r="P179" i="11"/>
  <c r="P187" i="11"/>
  <c r="P195" i="11"/>
  <c r="P203" i="11"/>
  <c r="P211" i="11"/>
  <c r="P219" i="11"/>
  <c r="P227" i="11"/>
  <c r="P235" i="11"/>
  <c r="P243" i="11"/>
  <c r="P251" i="11"/>
  <c r="P259" i="11"/>
  <c r="P267" i="11"/>
  <c r="P12" i="11"/>
  <c r="P36" i="11"/>
  <c r="P44" i="11"/>
  <c r="P60" i="11"/>
  <c r="P76" i="11"/>
  <c r="P92" i="11"/>
  <c r="P108" i="11"/>
  <c r="P116" i="11"/>
  <c r="P132" i="11"/>
  <c r="P148" i="11"/>
  <c r="P164" i="11"/>
  <c r="P180" i="11"/>
  <c r="P196" i="11"/>
  <c r="P212" i="11"/>
  <c r="P228" i="11"/>
  <c r="P244" i="11"/>
  <c r="P260" i="11"/>
  <c r="P23" i="11"/>
  <c r="P39" i="11"/>
  <c r="P55" i="11"/>
  <c r="P71" i="11"/>
  <c r="P87" i="11"/>
  <c r="P103" i="11"/>
  <c r="P119" i="11"/>
  <c r="P135" i="11"/>
  <c r="P151" i="11"/>
  <c r="P167" i="11"/>
  <c r="P183" i="11"/>
  <c r="P199" i="11"/>
  <c r="P215" i="11"/>
  <c r="P231" i="11"/>
  <c r="P247" i="11"/>
  <c r="P263" i="11"/>
  <c r="P13" i="11"/>
  <c r="P24" i="11"/>
  <c r="P40" i="11"/>
  <c r="P56" i="11"/>
  <c r="P72" i="11"/>
  <c r="P88" i="11"/>
  <c r="P104" i="11"/>
  <c r="P120" i="11"/>
  <c r="P136" i="11"/>
  <c r="P152" i="11"/>
  <c r="P168" i="11"/>
  <c r="P184" i="11"/>
  <c r="P200" i="11"/>
  <c r="P232" i="11"/>
  <c r="P248" i="11"/>
  <c r="P264" i="11"/>
  <c r="P14" i="11"/>
  <c r="P45" i="11"/>
  <c r="P77" i="11"/>
  <c r="P109" i="11"/>
  <c r="P141" i="11"/>
  <c r="P173" i="11"/>
  <c r="P205" i="11"/>
  <c r="P237" i="11"/>
  <c r="P269" i="11"/>
  <c r="P15" i="11"/>
  <c r="P46" i="11"/>
  <c r="P94" i="11"/>
  <c r="P126" i="11"/>
  <c r="P158" i="11"/>
  <c r="P190" i="11"/>
  <c r="P222" i="11"/>
  <c r="P216" i="11"/>
  <c r="P29" i="11"/>
  <c r="P61" i="11"/>
  <c r="P93" i="11"/>
  <c r="P125" i="11"/>
  <c r="P157" i="11"/>
  <c r="P189" i="11"/>
  <c r="P221" i="11"/>
  <c r="P253" i="11"/>
  <c r="P30" i="11"/>
  <c r="P62" i="11"/>
  <c r="P78" i="11"/>
  <c r="P110" i="11"/>
  <c r="P142" i="11"/>
  <c r="P174" i="11"/>
  <c r="P206" i="11"/>
  <c r="P238" i="11"/>
  <c r="P38" i="11"/>
  <c r="P70" i="11"/>
  <c r="P102" i="11"/>
  <c r="P134" i="11"/>
  <c r="P166" i="11"/>
  <c r="P198" i="11"/>
  <c r="P230" i="11"/>
  <c r="P261" i="11"/>
  <c r="P16" i="11"/>
  <c r="P47" i="11"/>
  <c r="P79" i="11"/>
  <c r="P111" i="11"/>
  <c r="P143" i="11"/>
  <c r="P175" i="11"/>
  <c r="P207" i="11"/>
  <c r="P239" i="11"/>
  <c r="P262" i="11"/>
  <c r="P20" i="11"/>
  <c r="P48" i="11"/>
  <c r="P80" i="11"/>
  <c r="P112" i="11"/>
  <c r="P144" i="11"/>
  <c r="P176" i="11"/>
  <c r="P208" i="11"/>
  <c r="P240" i="11"/>
  <c r="P9" i="11"/>
  <c r="P21" i="11"/>
  <c r="P53" i="11"/>
  <c r="P85" i="11"/>
  <c r="P117" i="11"/>
  <c r="P149" i="11"/>
  <c r="P181" i="11"/>
  <c r="P213" i="11"/>
  <c r="P245" i="11"/>
  <c r="P22" i="11"/>
  <c r="P54" i="11"/>
  <c r="P86" i="11"/>
  <c r="P118" i="11"/>
  <c r="P150" i="11"/>
  <c r="P182" i="11"/>
  <c r="P214" i="11"/>
  <c r="P246" i="11"/>
  <c r="P31" i="11"/>
  <c r="P63" i="11"/>
  <c r="P95" i="11"/>
  <c r="P127" i="11"/>
  <c r="P159" i="11"/>
  <c r="P191" i="11"/>
  <c r="P223" i="11"/>
  <c r="P254" i="11"/>
  <c r="P32" i="11"/>
  <c r="P64" i="11"/>
  <c r="P96" i="11"/>
  <c r="P128" i="11"/>
  <c r="P160" i="11"/>
  <c r="P192" i="11"/>
  <c r="P224" i="11"/>
  <c r="P255" i="11"/>
  <c r="P37" i="11"/>
  <c r="P69" i="11"/>
  <c r="P101" i="11"/>
  <c r="P133" i="11"/>
  <c r="P165" i="11"/>
  <c r="P197" i="11"/>
  <c r="P229" i="11"/>
  <c r="P256" i="11"/>
  <c r="N7" i="11"/>
  <c r="D10" i="11"/>
  <c r="D18" i="11"/>
  <c r="D26" i="11"/>
  <c r="D34" i="11"/>
  <c r="D42" i="11"/>
  <c r="D50" i="11"/>
  <c r="D58" i="11"/>
  <c r="D66" i="11"/>
  <c r="D74" i="11"/>
  <c r="D82" i="11"/>
  <c r="D90" i="11"/>
  <c r="D98" i="11"/>
  <c r="D106" i="11"/>
  <c r="D114" i="11"/>
  <c r="D122" i="11"/>
  <c r="D130" i="11"/>
  <c r="D138" i="11"/>
  <c r="D146" i="11"/>
  <c r="D154" i="11"/>
  <c r="D162" i="11"/>
  <c r="D170" i="11"/>
  <c r="D178" i="11"/>
  <c r="D186" i="11"/>
  <c r="D194" i="11"/>
  <c r="D202" i="11"/>
  <c r="D210" i="11"/>
  <c r="D218" i="11"/>
  <c r="D226" i="11"/>
  <c r="D234" i="11"/>
  <c r="D242" i="11"/>
  <c r="D250" i="11"/>
  <c r="D258" i="11"/>
  <c r="D266" i="11"/>
  <c r="D259" i="11"/>
  <c r="D260" i="11"/>
  <c r="D13" i="11"/>
  <c r="D37" i="11"/>
  <c r="D61" i="11"/>
  <c r="D77" i="11"/>
  <c r="D93" i="11"/>
  <c r="D109" i="11"/>
  <c r="D125" i="11"/>
  <c r="D141" i="11"/>
  <c r="D165" i="11"/>
  <c r="D181" i="11"/>
  <c r="D197" i="11"/>
  <c r="D213" i="11"/>
  <c r="D229" i="11"/>
  <c r="D237" i="11"/>
  <c r="D253" i="11"/>
  <c r="D134" i="11"/>
  <c r="D150" i="11"/>
  <c r="D182" i="11"/>
  <c r="D198" i="11"/>
  <c r="D222" i="11"/>
  <c r="D254" i="11"/>
  <c r="D15" i="11"/>
  <c r="D47" i="11"/>
  <c r="D79" i="11"/>
  <c r="D111" i="11"/>
  <c r="D151" i="11"/>
  <c r="D183" i="11"/>
  <c r="D215" i="11"/>
  <c r="D247" i="11"/>
  <c r="D16" i="11"/>
  <c r="D64" i="11"/>
  <c r="D88" i="11"/>
  <c r="D120" i="11"/>
  <c r="D152" i="11"/>
  <c r="D184" i="11"/>
  <c r="D216" i="11"/>
  <c r="D248" i="11"/>
  <c r="D17" i="11"/>
  <c r="D65" i="11"/>
  <c r="D89" i="11"/>
  <c r="D121" i="11"/>
  <c r="D145" i="11"/>
  <c r="D177" i="11"/>
  <c r="D209" i="11"/>
  <c r="D241" i="11"/>
  <c r="D11" i="11"/>
  <c r="D19" i="11"/>
  <c r="D27" i="11"/>
  <c r="D35" i="11"/>
  <c r="D43" i="11"/>
  <c r="D51" i="11"/>
  <c r="D59" i="11"/>
  <c r="D67" i="11"/>
  <c r="D75" i="11"/>
  <c r="D83" i="11"/>
  <c r="D91" i="11"/>
  <c r="D99" i="11"/>
  <c r="D107" i="11"/>
  <c r="D115" i="11"/>
  <c r="D123" i="11"/>
  <c r="D131" i="11"/>
  <c r="D139" i="11"/>
  <c r="D147" i="11"/>
  <c r="D155" i="11"/>
  <c r="D163" i="11"/>
  <c r="D171" i="11"/>
  <c r="D179" i="11"/>
  <c r="D187" i="11"/>
  <c r="D195" i="11"/>
  <c r="D203" i="11"/>
  <c r="D211" i="11"/>
  <c r="D219" i="11"/>
  <c r="D227" i="11"/>
  <c r="D235" i="11"/>
  <c r="D243" i="11"/>
  <c r="D251" i="11"/>
  <c r="D267" i="11"/>
  <c r="D29" i="11"/>
  <c r="D101" i="11"/>
  <c r="D269" i="11"/>
  <c r="D174" i="11"/>
  <c r="D230" i="11"/>
  <c r="D262" i="11"/>
  <c r="D23" i="11"/>
  <c r="D71" i="11"/>
  <c r="D95" i="11"/>
  <c r="D127" i="11"/>
  <c r="D167" i="11"/>
  <c r="D199" i="11"/>
  <c r="D239" i="11"/>
  <c r="D263" i="11"/>
  <c r="D40" i="11"/>
  <c r="D72" i="11"/>
  <c r="D104" i="11"/>
  <c r="D136" i="11"/>
  <c r="D176" i="11"/>
  <c r="D208" i="11"/>
  <c r="D240" i="11"/>
  <c r="D25" i="11"/>
  <c r="D73" i="11"/>
  <c r="D113" i="11"/>
  <c r="D153" i="11"/>
  <c r="D201" i="11"/>
  <c r="D233" i="11"/>
  <c r="D257" i="11"/>
  <c r="D12" i="11"/>
  <c r="D20" i="11"/>
  <c r="D28" i="11"/>
  <c r="D36" i="11"/>
  <c r="D44" i="11"/>
  <c r="D52" i="11"/>
  <c r="D60" i="11"/>
  <c r="D68" i="11"/>
  <c r="D76" i="11"/>
  <c r="D84" i="11"/>
  <c r="D92" i="11"/>
  <c r="D100" i="11"/>
  <c r="D108" i="11"/>
  <c r="D116" i="11"/>
  <c r="D124" i="11"/>
  <c r="D132" i="11"/>
  <c r="D140" i="11"/>
  <c r="D148" i="11"/>
  <c r="D156" i="11"/>
  <c r="D164" i="11"/>
  <c r="D172" i="11"/>
  <c r="D180" i="11"/>
  <c r="D188" i="11"/>
  <c r="D196" i="11"/>
  <c r="D204" i="11"/>
  <c r="D212" i="11"/>
  <c r="D220" i="11"/>
  <c r="D228" i="11"/>
  <c r="D236" i="11"/>
  <c r="D244" i="11"/>
  <c r="D252" i="11"/>
  <c r="D268" i="11"/>
  <c r="D21" i="11"/>
  <c r="D45" i="11"/>
  <c r="D53" i="11"/>
  <c r="D69" i="11"/>
  <c r="D85" i="11"/>
  <c r="D117" i="11"/>
  <c r="D133" i="11"/>
  <c r="D149" i="11"/>
  <c r="D157" i="11"/>
  <c r="D173" i="11"/>
  <c r="D189" i="11"/>
  <c r="D205" i="11"/>
  <c r="D221" i="11"/>
  <c r="D245" i="11"/>
  <c r="D261" i="11"/>
  <c r="D126" i="11"/>
  <c r="D158" i="11"/>
  <c r="D190" i="11"/>
  <c r="D214" i="11"/>
  <c r="D238" i="11"/>
  <c r="D9" i="11"/>
  <c r="D39" i="11"/>
  <c r="D55" i="11"/>
  <c r="D87" i="11"/>
  <c r="D119" i="11"/>
  <c r="D143" i="11"/>
  <c r="D175" i="11"/>
  <c r="D207" i="11"/>
  <c r="D231" i="11"/>
  <c r="D24" i="11"/>
  <c r="D56" i="11"/>
  <c r="D96" i="11"/>
  <c r="D128" i="11"/>
  <c r="D160" i="11"/>
  <c r="D192" i="11"/>
  <c r="D224" i="11"/>
  <c r="D264" i="11"/>
  <c r="D41" i="11"/>
  <c r="D57" i="11"/>
  <c r="D97" i="11"/>
  <c r="D129" i="11"/>
  <c r="D169" i="11"/>
  <c r="D185" i="11"/>
  <c r="D217" i="11"/>
  <c r="D249" i="11"/>
  <c r="D14" i="11"/>
  <c r="D22" i="11"/>
  <c r="D30" i="11"/>
  <c r="D38" i="11"/>
  <c r="D46" i="11"/>
  <c r="D54" i="11"/>
  <c r="D62" i="11"/>
  <c r="D70" i="11"/>
  <c r="D78" i="11"/>
  <c r="D86" i="11"/>
  <c r="D94" i="11"/>
  <c r="D102" i="11"/>
  <c r="D110" i="11"/>
  <c r="D118" i="11"/>
  <c r="D142" i="11"/>
  <c r="D166" i="11"/>
  <c r="D206" i="11"/>
  <c r="D246" i="11"/>
  <c r="D31" i="11"/>
  <c r="D63" i="11"/>
  <c r="D103" i="11"/>
  <c r="D135" i="11"/>
  <c r="D159" i="11"/>
  <c r="D191" i="11"/>
  <c r="D223" i="11"/>
  <c r="D255" i="11"/>
  <c r="D32" i="11"/>
  <c r="D48" i="11"/>
  <c r="D80" i="11"/>
  <c r="D112" i="11"/>
  <c r="D144" i="11"/>
  <c r="D168" i="11"/>
  <c r="D200" i="11"/>
  <c r="D232" i="11"/>
  <c r="D256" i="11"/>
  <c r="D33" i="11"/>
  <c r="D49" i="11"/>
  <c r="D81" i="11"/>
  <c r="D105" i="11"/>
  <c r="D137" i="11"/>
  <c r="D161" i="11"/>
  <c r="D193" i="11"/>
  <c r="D225" i="11"/>
  <c r="D265" i="11"/>
  <c r="B6" i="5"/>
  <c r="E1" i="5"/>
  <c r="H9" i="21" l="1"/>
  <c r="I9" i="21" s="1"/>
  <c r="J9" i="21" s="1"/>
  <c r="H4" i="21"/>
  <c r="I4" i="21" s="1"/>
  <c r="L57" i="11"/>
  <c r="L37" i="11"/>
  <c r="L47" i="11"/>
  <c r="L48" i="11" s="1"/>
  <c r="L53" i="11" s="1"/>
  <c r="J12" i="9" s="1"/>
  <c r="L17" i="11"/>
  <c r="L27" i="11"/>
  <c r="L28" i="11" s="1"/>
  <c r="L33" i="11" s="1"/>
  <c r="J9" i="9" s="1"/>
  <c r="K9" i="9" s="1"/>
  <c r="L7" i="11"/>
  <c r="L8" i="11" s="1"/>
  <c r="L13" i="11" s="1"/>
  <c r="I3" i="16"/>
  <c r="J3" i="16" s="1"/>
  <c r="K3" i="16" s="1"/>
  <c r="L3" i="16" s="1"/>
  <c r="M3" i="16" s="1"/>
  <c r="B2" i="16"/>
  <c r="B42" i="14"/>
  <c r="B2" i="14"/>
  <c r="B2" i="2"/>
  <c r="B2" i="7"/>
  <c r="B2" i="9"/>
  <c r="D25" i="13"/>
  <c r="E25" i="13"/>
  <c r="F25" i="13"/>
  <c r="G25" i="13"/>
  <c r="H25" i="13"/>
  <c r="I25" i="13"/>
  <c r="J25" i="13"/>
  <c r="K25" i="13"/>
  <c r="L25" i="13"/>
  <c r="D26" i="13"/>
  <c r="E26" i="13"/>
  <c r="F26" i="13"/>
  <c r="G26" i="13"/>
  <c r="H26" i="13"/>
  <c r="I26" i="13"/>
  <c r="J26" i="13"/>
  <c r="K26" i="13"/>
  <c r="L26" i="13"/>
  <c r="D27" i="13"/>
  <c r="E27" i="13"/>
  <c r="F27" i="13"/>
  <c r="G27" i="13"/>
  <c r="H27" i="13"/>
  <c r="I27" i="13"/>
  <c r="J27" i="13"/>
  <c r="K27" i="13"/>
  <c r="L27" i="13"/>
  <c r="D28" i="13"/>
  <c r="E28" i="13"/>
  <c r="F28" i="13"/>
  <c r="G28" i="13"/>
  <c r="H28" i="13"/>
  <c r="I28" i="13"/>
  <c r="J28" i="13"/>
  <c r="K28" i="13"/>
  <c r="L28" i="13"/>
  <c r="C26" i="13"/>
  <c r="C27" i="13"/>
  <c r="C28" i="13"/>
  <c r="C25" i="13"/>
  <c r="D24" i="13"/>
  <c r="E24" i="13"/>
  <c r="F24" i="13"/>
  <c r="G24" i="13"/>
  <c r="H24" i="13"/>
  <c r="I24" i="13"/>
  <c r="J24" i="13"/>
  <c r="K24" i="13"/>
  <c r="L24" i="13"/>
  <c r="C24" i="13"/>
  <c r="B2" i="13"/>
  <c r="B21" i="13"/>
  <c r="C6" i="13"/>
  <c r="D6" i="13"/>
  <c r="E6" i="13"/>
  <c r="F6" i="13"/>
  <c r="G6" i="13"/>
  <c r="H6" i="13"/>
  <c r="I6" i="13"/>
  <c r="J6" i="13"/>
  <c r="K6" i="13"/>
  <c r="L6" i="13"/>
  <c r="C7" i="13"/>
  <c r="D7" i="13"/>
  <c r="E7" i="13"/>
  <c r="F7" i="13"/>
  <c r="G7" i="13"/>
  <c r="H7" i="13"/>
  <c r="I7" i="13"/>
  <c r="J7" i="13"/>
  <c r="K7" i="13"/>
  <c r="L7" i="13"/>
  <c r="C8" i="13"/>
  <c r="D8" i="13"/>
  <c r="E8" i="13"/>
  <c r="F8" i="13"/>
  <c r="G8" i="13"/>
  <c r="H8" i="13"/>
  <c r="I8" i="13"/>
  <c r="J8" i="13"/>
  <c r="K8" i="13"/>
  <c r="L8" i="13"/>
  <c r="C9" i="13"/>
  <c r="D9" i="13"/>
  <c r="E9" i="13"/>
  <c r="F9" i="13"/>
  <c r="G9" i="13"/>
  <c r="H9" i="13"/>
  <c r="I9" i="13"/>
  <c r="J9" i="13"/>
  <c r="K9" i="13"/>
  <c r="L9" i="13"/>
  <c r="C10" i="13"/>
  <c r="D10" i="13"/>
  <c r="E10" i="13"/>
  <c r="F10" i="13"/>
  <c r="G10" i="13"/>
  <c r="H10" i="13"/>
  <c r="I10" i="13"/>
  <c r="J10" i="13"/>
  <c r="K10" i="13"/>
  <c r="L10" i="13"/>
  <c r="C12" i="13"/>
  <c r="D12" i="13"/>
  <c r="E12" i="13"/>
  <c r="F12" i="13"/>
  <c r="G12" i="13"/>
  <c r="H12" i="13"/>
  <c r="I12" i="13"/>
  <c r="J12" i="13"/>
  <c r="K12" i="13"/>
  <c r="L12" i="13"/>
  <c r="C13" i="13"/>
  <c r="D13" i="13"/>
  <c r="E13" i="13"/>
  <c r="F13" i="13"/>
  <c r="G13" i="13"/>
  <c r="H13" i="13"/>
  <c r="I13" i="13"/>
  <c r="J13" i="13"/>
  <c r="K13" i="13"/>
  <c r="L13" i="13"/>
  <c r="C14" i="13"/>
  <c r="D14" i="13"/>
  <c r="E14" i="13"/>
  <c r="F14" i="13"/>
  <c r="G14" i="13"/>
  <c r="H14" i="13"/>
  <c r="I14" i="13"/>
  <c r="J14" i="13"/>
  <c r="K14" i="13"/>
  <c r="L14" i="13"/>
  <c r="C15" i="13"/>
  <c r="D15" i="13"/>
  <c r="E15" i="13"/>
  <c r="F15" i="13"/>
  <c r="G15" i="13"/>
  <c r="H15" i="13"/>
  <c r="I15" i="13"/>
  <c r="J15" i="13"/>
  <c r="K15" i="13"/>
  <c r="L15" i="13"/>
  <c r="C16" i="13"/>
  <c r="D16" i="13"/>
  <c r="E16" i="13"/>
  <c r="F16" i="13"/>
  <c r="G16" i="13"/>
  <c r="H16" i="13"/>
  <c r="I16" i="13"/>
  <c r="J16" i="13"/>
  <c r="K16" i="13"/>
  <c r="L16" i="13"/>
  <c r="C17" i="13"/>
  <c r="D17" i="13"/>
  <c r="E17" i="13"/>
  <c r="F17" i="13"/>
  <c r="G17" i="13"/>
  <c r="H17" i="13"/>
  <c r="I17" i="13"/>
  <c r="J17" i="13"/>
  <c r="K17" i="13"/>
  <c r="L17" i="13"/>
  <c r="C18" i="13"/>
  <c r="D18" i="13"/>
  <c r="E18" i="13"/>
  <c r="F18" i="13"/>
  <c r="G18" i="13"/>
  <c r="H18" i="13"/>
  <c r="I18" i="13"/>
  <c r="J18" i="13"/>
  <c r="K18" i="13"/>
  <c r="L18" i="13"/>
  <c r="B18" i="13"/>
  <c r="D5" i="13"/>
  <c r="E5" i="13"/>
  <c r="F5" i="13"/>
  <c r="G5" i="13"/>
  <c r="H5" i="13"/>
  <c r="I5" i="13"/>
  <c r="J5" i="13"/>
  <c r="K5" i="13"/>
  <c r="L5" i="13"/>
  <c r="C5" i="13"/>
  <c r="B6" i="13"/>
  <c r="B7" i="13"/>
  <c r="B8" i="13"/>
  <c r="B9" i="13"/>
  <c r="B10" i="13"/>
  <c r="B12" i="13"/>
  <c r="B13" i="13"/>
  <c r="B14" i="13"/>
  <c r="B15" i="13"/>
  <c r="B16" i="13"/>
  <c r="B17" i="13"/>
  <c r="B5" i="13"/>
  <c r="H16" i="9"/>
  <c r="H15" i="9"/>
  <c r="C28" i="9"/>
  <c r="C5" i="7"/>
  <c r="H8" i="21" l="1"/>
  <c r="K9" i="21"/>
  <c r="L9" i="21" s="1"/>
  <c r="L58" i="11"/>
  <c r="L63" i="11" s="1"/>
  <c r="J13" i="9" s="1"/>
  <c r="L18" i="11"/>
  <c r="L23" i="11" s="1"/>
  <c r="L38" i="11"/>
  <c r="L43" i="11" s="1"/>
  <c r="J11" i="9" s="1"/>
  <c r="D28" i="9"/>
  <c r="K12" i="9"/>
  <c r="H10" i="21" l="1"/>
  <c r="C31" i="8" s="1"/>
  <c r="I8" i="16" s="1"/>
  <c r="J10" i="9"/>
  <c r="K10" i="9" s="1"/>
  <c r="K11" i="9"/>
  <c r="D30" i="9"/>
  <c r="J15" i="9" l="1"/>
  <c r="J16" i="9"/>
  <c r="C6" i="2" l="1"/>
  <c r="M102" i="2"/>
  <c r="C61" i="2"/>
  <c r="M64" i="2"/>
  <c r="M66" i="2" s="1"/>
  <c r="D56" i="2"/>
  <c r="E56" i="2"/>
  <c r="F56" i="2"/>
  <c r="G56" i="2"/>
  <c r="H56" i="2"/>
  <c r="I56" i="2"/>
  <c r="J56" i="2"/>
  <c r="K56" i="2"/>
  <c r="L56" i="2"/>
  <c r="C56" i="2"/>
  <c r="D59" i="2"/>
  <c r="E59" i="2"/>
  <c r="F59" i="2"/>
  <c r="G59" i="2"/>
  <c r="H59" i="2"/>
  <c r="I59" i="2"/>
  <c r="J59" i="2"/>
  <c r="K59" i="2"/>
  <c r="L59" i="2"/>
  <c r="D60" i="2"/>
  <c r="E60" i="2"/>
  <c r="F60" i="2"/>
  <c r="G60" i="2"/>
  <c r="H60" i="2"/>
  <c r="I60" i="2"/>
  <c r="J60" i="2"/>
  <c r="K60" i="2"/>
  <c r="L60" i="2"/>
  <c r="D61" i="2"/>
  <c r="E61" i="2"/>
  <c r="F61" i="2"/>
  <c r="G61" i="2"/>
  <c r="H61" i="2"/>
  <c r="I61" i="2"/>
  <c r="J61" i="2"/>
  <c r="K61" i="2"/>
  <c r="L61" i="2"/>
  <c r="C60" i="2"/>
  <c r="C59" i="2"/>
  <c r="C54" i="2"/>
  <c r="D54" i="2"/>
  <c r="E54" i="2"/>
  <c r="F54" i="2"/>
  <c r="G54" i="2"/>
  <c r="H54" i="2"/>
  <c r="I54" i="2"/>
  <c r="J54" i="2"/>
  <c r="K54" i="2"/>
  <c r="L54" i="2"/>
  <c r="C55" i="2"/>
  <c r="D55" i="2"/>
  <c r="E55" i="2"/>
  <c r="F55" i="2"/>
  <c r="G55" i="2"/>
  <c r="H55" i="2"/>
  <c r="I55" i="2"/>
  <c r="J55" i="2"/>
  <c r="K55" i="2"/>
  <c r="L55" i="2"/>
  <c r="D53" i="2"/>
  <c r="E53" i="2"/>
  <c r="F53" i="2"/>
  <c r="G53" i="2"/>
  <c r="H53" i="2"/>
  <c r="I53" i="2"/>
  <c r="J53" i="2"/>
  <c r="K53" i="2"/>
  <c r="L53" i="2"/>
  <c r="C53" i="2"/>
  <c r="D47" i="2"/>
  <c r="E47" i="2"/>
  <c r="F47" i="2"/>
  <c r="G47" i="2"/>
  <c r="H47" i="2"/>
  <c r="I47" i="2"/>
  <c r="J47" i="2"/>
  <c r="K47" i="2"/>
  <c r="L47" i="2"/>
  <c r="D48" i="2"/>
  <c r="E48" i="2"/>
  <c r="F48" i="2"/>
  <c r="G48" i="2"/>
  <c r="H48" i="2"/>
  <c r="I48" i="2"/>
  <c r="J48" i="2"/>
  <c r="K48" i="2"/>
  <c r="L48" i="2"/>
  <c r="D49" i="2"/>
  <c r="E49" i="2"/>
  <c r="F49" i="2"/>
  <c r="G49" i="2"/>
  <c r="H49" i="2"/>
  <c r="I49" i="2"/>
  <c r="J49" i="2"/>
  <c r="K49" i="2"/>
  <c r="L49" i="2"/>
  <c r="D50" i="2"/>
  <c r="E50" i="2"/>
  <c r="F50" i="2"/>
  <c r="G50" i="2"/>
  <c r="H50" i="2"/>
  <c r="I50" i="2"/>
  <c r="J50" i="2"/>
  <c r="K50" i="2"/>
  <c r="L50" i="2"/>
  <c r="C48" i="2"/>
  <c r="C49" i="2"/>
  <c r="C50" i="2"/>
  <c r="C47" i="2"/>
  <c r="D41" i="2"/>
  <c r="E41" i="2"/>
  <c r="F41" i="2"/>
  <c r="G41" i="2"/>
  <c r="H41" i="2"/>
  <c r="H9" i="7" s="1"/>
  <c r="I41" i="2"/>
  <c r="J41" i="2"/>
  <c r="K41" i="2"/>
  <c r="L41" i="2"/>
  <c r="L9" i="7" s="1"/>
  <c r="C41" i="2"/>
  <c r="D36" i="2"/>
  <c r="E36" i="2"/>
  <c r="F36" i="2"/>
  <c r="G36" i="2"/>
  <c r="H36" i="2"/>
  <c r="I36" i="2"/>
  <c r="J36" i="2"/>
  <c r="K36" i="2"/>
  <c r="L36" i="2"/>
  <c r="C36" i="2"/>
  <c r="D24" i="2"/>
  <c r="E24" i="2"/>
  <c r="F24" i="2"/>
  <c r="G24" i="2"/>
  <c r="H24" i="2"/>
  <c r="I24" i="2"/>
  <c r="J24" i="2"/>
  <c r="K24" i="2"/>
  <c r="L24" i="2"/>
  <c r="D21" i="2"/>
  <c r="E21" i="2"/>
  <c r="F21" i="2"/>
  <c r="G21" i="2"/>
  <c r="G22" i="2" s="1"/>
  <c r="H21" i="2"/>
  <c r="H22" i="2" s="1"/>
  <c r="I21" i="2"/>
  <c r="I22" i="2" s="1"/>
  <c r="J21" i="2"/>
  <c r="J22" i="2" s="1"/>
  <c r="K21" i="2"/>
  <c r="L21" i="2"/>
  <c r="C21" i="2"/>
  <c r="D30" i="2"/>
  <c r="E30" i="2"/>
  <c r="F30" i="2"/>
  <c r="G30" i="2"/>
  <c r="H30" i="2"/>
  <c r="I30" i="2"/>
  <c r="J30" i="2"/>
  <c r="K30" i="2"/>
  <c r="L30" i="2"/>
  <c r="M30" i="2" s="1"/>
  <c r="C30" i="2"/>
  <c r="D6" i="2"/>
  <c r="D11" i="13" s="1"/>
  <c r="D19" i="13" s="1"/>
  <c r="E6" i="2"/>
  <c r="E11" i="13" s="1"/>
  <c r="E19" i="13" s="1"/>
  <c r="F6" i="2"/>
  <c r="F11" i="13" s="1"/>
  <c r="F19" i="13" s="1"/>
  <c r="G6" i="2"/>
  <c r="G11" i="13" s="1"/>
  <c r="G19" i="13" s="1"/>
  <c r="H6" i="2"/>
  <c r="H11" i="13" s="1"/>
  <c r="H19" i="13" s="1"/>
  <c r="I6" i="2"/>
  <c r="I11" i="13" s="1"/>
  <c r="I19" i="13" s="1"/>
  <c r="J6" i="2"/>
  <c r="J11" i="13" s="1"/>
  <c r="J19" i="13" s="1"/>
  <c r="K6" i="2"/>
  <c r="K11" i="13" s="1"/>
  <c r="K19" i="13" s="1"/>
  <c r="L6" i="2"/>
  <c r="H29" i="7" l="1"/>
  <c r="H36" i="7" s="1"/>
  <c r="C22" i="2"/>
  <c r="E22" i="2"/>
  <c r="H8" i="16"/>
  <c r="M25" i="2"/>
  <c r="M24" i="2"/>
  <c r="C16" i="2"/>
  <c r="C17" i="7" s="1"/>
  <c r="C11" i="13"/>
  <c r="C19" i="13" s="1"/>
  <c r="E10" i="2"/>
  <c r="M6" i="2"/>
  <c r="M10" i="2" s="1"/>
  <c r="F22" i="2"/>
  <c r="L22" i="2"/>
  <c r="M22" i="2" s="1"/>
  <c r="M21" i="2"/>
  <c r="D22" i="2"/>
  <c r="K22" i="2"/>
  <c r="I9" i="7"/>
  <c r="G35" i="7"/>
  <c r="I51" i="2"/>
  <c r="C102" i="2"/>
  <c r="I102" i="2"/>
  <c r="J41" i="7"/>
  <c r="C91" i="2"/>
  <c r="F41" i="7"/>
  <c r="E102" i="2"/>
  <c r="G102" i="2"/>
  <c r="L102" i="2"/>
  <c r="D102" i="2"/>
  <c r="F102" i="2"/>
  <c r="K102" i="2"/>
  <c r="L39" i="7"/>
  <c r="D41" i="7"/>
  <c r="J102" i="2"/>
  <c r="K41" i="7"/>
  <c r="I39" i="7"/>
  <c r="H39" i="7"/>
  <c r="H102" i="2"/>
  <c r="G9" i="7"/>
  <c r="E9" i="7"/>
  <c r="E51" i="2"/>
  <c r="K35" i="7"/>
  <c r="I29" i="7"/>
  <c r="I36" i="7" s="1"/>
  <c r="H35" i="7"/>
  <c r="L29" i="7"/>
  <c r="L36" i="7" s="1"/>
  <c r="G51" i="2"/>
  <c r="L62" i="2"/>
  <c r="F9" i="7"/>
  <c r="J29" i="7"/>
  <c r="J36" i="7" s="1"/>
  <c r="J62" i="2"/>
  <c r="D62" i="2"/>
  <c r="I62" i="2"/>
  <c r="I35" i="7"/>
  <c r="F57" i="2"/>
  <c r="G57" i="2"/>
  <c r="H62" i="2"/>
  <c r="H51" i="2"/>
  <c r="E35" i="7"/>
  <c r="E57" i="2"/>
  <c r="F29" i="7"/>
  <c r="F36" i="7" s="1"/>
  <c r="F62" i="2"/>
  <c r="F51" i="2"/>
  <c r="G29" i="7"/>
  <c r="G36" i="7" s="1"/>
  <c r="E31" i="7"/>
  <c r="E30" i="7"/>
  <c r="E34" i="7"/>
  <c r="L10" i="2"/>
  <c r="L31" i="7"/>
  <c r="L30" i="7"/>
  <c r="L34" i="7"/>
  <c r="D10" i="2"/>
  <c r="D31" i="7"/>
  <c r="D30" i="7"/>
  <c r="L35" i="7"/>
  <c r="E29" i="7"/>
  <c r="E36" i="7" s="1"/>
  <c r="E62" i="2"/>
  <c r="C62" i="2"/>
  <c r="G62" i="2"/>
  <c r="K10" i="2"/>
  <c r="K30" i="7"/>
  <c r="K34" i="7"/>
  <c r="K31" i="7"/>
  <c r="D9" i="7"/>
  <c r="J35" i="7"/>
  <c r="L51" i="2"/>
  <c r="D51" i="2"/>
  <c r="K29" i="7"/>
  <c r="K36" i="7" s="1"/>
  <c r="K62" i="2"/>
  <c r="F35" i="7"/>
  <c r="J34" i="7"/>
  <c r="J30" i="7"/>
  <c r="J31" i="7"/>
  <c r="I16" i="2"/>
  <c r="I17" i="7" s="1"/>
  <c r="I34" i="7"/>
  <c r="I31" i="7"/>
  <c r="I30" i="7"/>
  <c r="K9" i="7"/>
  <c r="C51" i="2"/>
  <c r="K51" i="2"/>
  <c r="I57" i="2"/>
  <c r="G12" i="2"/>
  <c r="G18" i="2" s="1"/>
  <c r="G30" i="7"/>
  <c r="G31" i="7"/>
  <c r="G34" i="7"/>
  <c r="F10" i="2"/>
  <c r="F31" i="7"/>
  <c r="F30" i="7"/>
  <c r="F34" i="7"/>
  <c r="H34" i="7"/>
  <c r="H30" i="7"/>
  <c r="H31" i="7"/>
  <c r="J9" i="7"/>
  <c r="J51" i="2"/>
  <c r="H57" i="2"/>
  <c r="L57" i="2"/>
  <c r="L64" i="2" s="1"/>
  <c r="D57" i="2"/>
  <c r="K57" i="2"/>
  <c r="J57" i="2"/>
  <c r="J64" i="2" s="1"/>
  <c r="C57" i="2"/>
  <c r="L12" i="2"/>
  <c r="C12" i="2"/>
  <c r="C10" i="2"/>
  <c r="E18" i="7"/>
  <c r="G7" i="2"/>
  <c r="G5" i="7" s="1"/>
  <c r="L18" i="7"/>
  <c r="D18" i="7"/>
  <c r="G18" i="7"/>
  <c r="F16" i="2"/>
  <c r="F17" i="7" s="1"/>
  <c r="F12" i="2"/>
  <c r="F18" i="2" s="1"/>
  <c r="F18" i="7"/>
  <c r="E12" i="2"/>
  <c r="E18" i="2" s="1"/>
  <c r="F7" i="2"/>
  <c r="F5" i="7" s="1"/>
  <c r="H18" i="7"/>
  <c r="E7" i="2"/>
  <c r="E5" i="7" s="1"/>
  <c r="E16" i="2"/>
  <c r="E17" i="7" s="1"/>
  <c r="K18" i="7"/>
  <c r="I10" i="2"/>
  <c r="D12" i="2"/>
  <c r="D18" i="2" s="1"/>
  <c r="J18" i="7"/>
  <c r="H10" i="2"/>
  <c r="I18" i="7"/>
  <c r="G10" i="2"/>
  <c r="H16" i="2"/>
  <c r="H17" i="7" s="1"/>
  <c r="D7" i="2"/>
  <c r="D5" i="7" s="1"/>
  <c r="G16" i="2"/>
  <c r="G17" i="7" s="1"/>
  <c r="J7" i="2"/>
  <c r="J5" i="7" s="1"/>
  <c r="I12" i="2"/>
  <c r="I18" i="2" s="1"/>
  <c r="L16" i="2"/>
  <c r="L17" i="7" s="1"/>
  <c r="D16" i="2"/>
  <c r="D17" i="7" s="1"/>
  <c r="L7" i="2"/>
  <c r="K12" i="2"/>
  <c r="K18" i="2" s="1"/>
  <c r="K7" i="2"/>
  <c r="K5" i="7" s="1"/>
  <c r="J12" i="2"/>
  <c r="J18" i="2" s="1"/>
  <c r="I7" i="2"/>
  <c r="I5" i="7" s="1"/>
  <c r="H12" i="2"/>
  <c r="H18" i="2" s="1"/>
  <c r="K16" i="2"/>
  <c r="K17" i="7" s="1"/>
  <c r="M12" i="2"/>
  <c r="H7" i="2"/>
  <c r="H5" i="7" s="1"/>
  <c r="J16" i="2"/>
  <c r="J17" i="7" s="1"/>
  <c r="J10" i="2"/>
  <c r="C47" i="8" l="1"/>
  <c r="K37" i="7"/>
  <c r="C19" i="8"/>
  <c r="C20" i="8" s="1"/>
  <c r="C12" i="8"/>
  <c r="C14" i="8" s="1"/>
  <c r="K103" i="2"/>
  <c r="I103" i="2"/>
  <c r="L18" i="2"/>
  <c r="L19" i="2" s="1"/>
  <c r="L5" i="7"/>
  <c r="N5" i="7" s="1"/>
  <c r="M7" i="2"/>
  <c r="J66" i="2"/>
  <c r="O36" i="7"/>
  <c r="E103" i="2"/>
  <c r="L11" i="13"/>
  <c r="L19" i="13" s="1"/>
  <c r="M16" i="2"/>
  <c r="J39" i="7"/>
  <c r="G103" i="2"/>
  <c r="C44" i="8"/>
  <c r="C18" i="2"/>
  <c r="C27" i="2" s="1"/>
  <c r="O34" i="7"/>
  <c r="O35" i="7"/>
  <c r="O28" i="7"/>
  <c r="E41" i="7"/>
  <c r="C41" i="7"/>
  <c r="K39" i="7"/>
  <c r="G39" i="7"/>
  <c r="G41" i="7"/>
  <c r="D103" i="2"/>
  <c r="E39" i="7"/>
  <c r="L103" i="2"/>
  <c r="H103" i="2"/>
  <c r="L41" i="7"/>
  <c r="H41" i="7"/>
  <c r="F103" i="2"/>
  <c r="J103" i="2"/>
  <c r="I41" i="7"/>
  <c r="F39" i="7"/>
  <c r="H37" i="7"/>
  <c r="I37" i="7"/>
  <c r="F64" i="2"/>
  <c r="D64" i="2"/>
  <c r="D66" i="2" s="1"/>
  <c r="J37" i="7"/>
  <c r="G64" i="2"/>
  <c r="G40" i="7" s="1"/>
  <c r="H64" i="2"/>
  <c r="H66" i="2" s="1"/>
  <c r="F37" i="7"/>
  <c r="I64" i="2"/>
  <c r="I66" i="2" s="1"/>
  <c r="O17" i="7"/>
  <c r="L66" i="2"/>
  <c r="N28" i="7"/>
  <c r="F66" i="2"/>
  <c r="C64" i="2"/>
  <c r="C66" i="2" s="1"/>
  <c r="F40" i="7"/>
  <c r="K64" i="2"/>
  <c r="N27" i="7"/>
  <c r="O27" i="7"/>
  <c r="L40" i="7"/>
  <c r="N18" i="7"/>
  <c r="O18" i="7"/>
  <c r="G66" i="2"/>
  <c r="N17" i="7"/>
  <c r="O30" i="7"/>
  <c r="N30" i="7"/>
  <c r="D40" i="7"/>
  <c r="N35" i="7"/>
  <c r="N31" i="7"/>
  <c r="O31" i="7"/>
  <c r="J40" i="7"/>
  <c r="N9" i="7"/>
  <c r="O9" i="7"/>
  <c r="G19" i="2"/>
  <c r="G12" i="7" s="1"/>
  <c r="G21" i="7"/>
  <c r="G13" i="2"/>
  <c r="G11" i="7" s="1"/>
  <c r="L12" i="7"/>
  <c r="G27" i="2"/>
  <c r="G28" i="2" s="1"/>
  <c r="G14" i="7" s="1"/>
  <c r="G37" i="7"/>
  <c r="E37" i="7"/>
  <c r="E64" i="2"/>
  <c r="O29" i="7"/>
  <c r="N29" i="7"/>
  <c r="N36" i="7"/>
  <c r="L37" i="7"/>
  <c r="C13" i="2"/>
  <c r="C11" i="7" s="1"/>
  <c r="L27" i="2"/>
  <c r="L13" i="2"/>
  <c r="L11" i="7" s="1"/>
  <c r="G6" i="7"/>
  <c r="F13" i="2"/>
  <c r="F11" i="7" s="1"/>
  <c r="E13" i="2"/>
  <c r="E11" i="7" s="1"/>
  <c r="I13" i="2"/>
  <c r="I11" i="7" s="1"/>
  <c r="H13" i="2"/>
  <c r="H11" i="7" s="1"/>
  <c r="J13" i="2"/>
  <c r="J11" i="7" s="1"/>
  <c r="D13" i="2"/>
  <c r="D11" i="7" s="1"/>
  <c r="L6" i="7"/>
  <c r="K13" i="2"/>
  <c r="K11" i="7" s="1"/>
  <c r="M13" i="2"/>
  <c r="O5" i="7" l="1"/>
  <c r="C26" i="8"/>
  <c r="C25" i="8" s="1"/>
  <c r="C45" i="8"/>
  <c r="C46" i="8"/>
  <c r="D19" i="8"/>
  <c r="D20" i="8" s="1"/>
  <c r="D12" i="8"/>
  <c r="D14" i="8" s="1"/>
  <c r="L21" i="7"/>
  <c r="H5" i="16"/>
  <c r="H7" i="16" s="1"/>
  <c r="C21" i="7"/>
  <c r="C19" i="2"/>
  <c r="C12" i="7" s="1"/>
  <c r="D48" i="8"/>
  <c r="D39" i="8"/>
  <c r="D47" i="8"/>
  <c r="D44" i="8"/>
  <c r="O39" i="7"/>
  <c r="D53" i="8"/>
  <c r="M18" i="2"/>
  <c r="M19" i="2" s="1"/>
  <c r="N41" i="7"/>
  <c r="O41" i="7"/>
  <c r="N39" i="7"/>
  <c r="G31" i="2"/>
  <c r="G33" i="2"/>
  <c r="G23" i="7" s="1"/>
  <c r="H40" i="7"/>
  <c r="C40" i="7"/>
  <c r="I40" i="7"/>
  <c r="H21" i="7"/>
  <c r="H6" i="7"/>
  <c r="E66" i="2"/>
  <c r="E40" i="7"/>
  <c r="K21" i="7"/>
  <c r="K6" i="7"/>
  <c r="I21" i="7"/>
  <c r="I6" i="7"/>
  <c r="L33" i="2"/>
  <c r="L38" i="2" s="1"/>
  <c r="M38" i="2" s="1"/>
  <c r="L13" i="7"/>
  <c r="L19" i="7"/>
  <c r="L25" i="7"/>
  <c r="G19" i="7"/>
  <c r="G25" i="7"/>
  <c r="G13" i="7"/>
  <c r="E6" i="7"/>
  <c r="E21" i="7"/>
  <c r="D21" i="7"/>
  <c r="D6" i="7"/>
  <c r="C28" i="2"/>
  <c r="C14" i="7" s="1"/>
  <c r="C19" i="7"/>
  <c r="C13" i="7"/>
  <c r="C25" i="7"/>
  <c r="N11" i="7"/>
  <c r="O11" i="7"/>
  <c r="N34" i="7"/>
  <c r="J6" i="7"/>
  <c r="J21" i="7"/>
  <c r="F21" i="7"/>
  <c r="F6" i="7"/>
  <c r="K66" i="2"/>
  <c r="K40" i="7"/>
  <c r="C31" i="2"/>
  <c r="L31" i="2"/>
  <c r="L28" i="2"/>
  <c r="L14" i="7" s="1"/>
  <c r="C33" i="2"/>
  <c r="C34" i="2" s="1"/>
  <c r="C15" i="7" s="1"/>
  <c r="H19" i="2"/>
  <c r="H12" i="7" s="1"/>
  <c r="H27" i="2"/>
  <c r="F19" i="2"/>
  <c r="F12" i="7" s="1"/>
  <c r="F27" i="2"/>
  <c r="I19" i="2"/>
  <c r="I12" i="7" s="1"/>
  <c r="I27" i="2"/>
  <c r="D19" i="2"/>
  <c r="D12" i="7" s="1"/>
  <c r="D27" i="2"/>
  <c r="K19" i="2"/>
  <c r="K12" i="7" s="1"/>
  <c r="K27" i="2"/>
  <c r="J19" i="2"/>
  <c r="J12" i="7" s="1"/>
  <c r="J27" i="2"/>
  <c r="E19" i="2"/>
  <c r="E12" i="7" s="1"/>
  <c r="E27" i="2"/>
  <c r="D54" i="8" l="1"/>
  <c r="C49" i="8"/>
  <c r="I10" i="16" s="1"/>
  <c r="I5" i="21"/>
  <c r="I7" i="21" s="1"/>
  <c r="C62" i="8"/>
  <c r="D45" i="8"/>
  <c r="D46" i="8"/>
  <c r="E19" i="8"/>
  <c r="E20" i="8" s="1"/>
  <c r="E12" i="8"/>
  <c r="E14" i="8" s="1"/>
  <c r="M27" i="2"/>
  <c r="M28" i="2" s="1"/>
  <c r="E39" i="8"/>
  <c r="E48" i="8"/>
  <c r="E44" i="8"/>
  <c r="F6" i="8"/>
  <c r="E47" i="8"/>
  <c r="G38" i="2"/>
  <c r="G34" i="2"/>
  <c r="G15" i="7" s="1"/>
  <c r="N37" i="7"/>
  <c r="O37" i="7"/>
  <c r="O21" i="7"/>
  <c r="O40" i="7"/>
  <c r="O12" i="7"/>
  <c r="N21" i="7"/>
  <c r="N40" i="7"/>
  <c r="F7" i="7"/>
  <c r="F13" i="7"/>
  <c r="F19" i="7"/>
  <c r="F25" i="7"/>
  <c r="E7" i="7"/>
  <c r="E19" i="7"/>
  <c r="E13" i="7"/>
  <c r="E25" i="7"/>
  <c r="G7" i="7"/>
  <c r="J7" i="7"/>
  <c r="J19" i="7"/>
  <c r="J25" i="7"/>
  <c r="J13" i="7"/>
  <c r="K7" i="7"/>
  <c r="K25" i="7"/>
  <c r="K19" i="7"/>
  <c r="K13" i="7"/>
  <c r="H7" i="7"/>
  <c r="H13" i="7"/>
  <c r="H25" i="7"/>
  <c r="H19" i="7"/>
  <c r="L34" i="2"/>
  <c r="L15" i="7" s="1"/>
  <c r="D7" i="7"/>
  <c r="D19" i="7"/>
  <c r="D13" i="7"/>
  <c r="D25" i="7"/>
  <c r="C38" i="2"/>
  <c r="C22" i="7" s="1"/>
  <c r="C23" i="7"/>
  <c r="N12" i="7"/>
  <c r="I7" i="7"/>
  <c r="I19" i="7"/>
  <c r="I13" i="7"/>
  <c r="I25" i="7"/>
  <c r="O6" i="7"/>
  <c r="N6" i="7"/>
  <c r="L23" i="7"/>
  <c r="L7" i="7"/>
  <c r="L42" i="2"/>
  <c r="L44" i="2" s="1"/>
  <c r="G42" i="2"/>
  <c r="G44" i="2" s="1"/>
  <c r="G22" i="7" s="1"/>
  <c r="G24" i="7" s="1"/>
  <c r="D33" i="2"/>
  <c r="D28" i="2"/>
  <c r="D14" i="7" s="1"/>
  <c r="D31" i="2"/>
  <c r="I33" i="2"/>
  <c r="I28" i="2"/>
  <c r="I14" i="7" s="1"/>
  <c r="I31" i="2"/>
  <c r="E33" i="2"/>
  <c r="E28" i="2"/>
  <c r="E14" i="7" s="1"/>
  <c r="E31" i="2"/>
  <c r="K28" i="2"/>
  <c r="K14" i="7" s="1"/>
  <c r="K33" i="2"/>
  <c r="K31" i="2"/>
  <c r="H31" i="2"/>
  <c r="H33" i="2"/>
  <c r="H28" i="2"/>
  <c r="H14" i="7" s="1"/>
  <c r="J33" i="2"/>
  <c r="J28" i="2"/>
  <c r="J14" i="7" s="1"/>
  <c r="J31" i="2"/>
  <c r="F31" i="2"/>
  <c r="F33" i="2"/>
  <c r="F28" i="2"/>
  <c r="F14" i="7" s="1"/>
  <c r="D49" i="8" l="1"/>
  <c r="J10" i="16" s="1"/>
  <c r="J5" i="21"/>
  <c r="I8" i="21"/>
  <c r="I10" i="21" s="1"/>
  <c r="J4" i="21"/>
  <c r="E45" i="8"/>
  <c r="E46" i="8"/>
  <c r="G6" i="8"/>
  <c r="F12" i="8"/>
  <c r="F14" i="8" s="1"/>
  <c r="F19" i="8"/>
  <c r="F20" i="8" s="1"/>
  <c r="M33" i="2"/>
  <c r="M31" i="2"/>
  <c r="F39" i="8"/>
  <c r="F44" i="8"/>
  <c r="F48" i="8"/>
  <c r="F47" i="8"/>
  <c r="L8" i="7"/>
  <c r="K8" i="7"/>
  <c r="L22" i="7"/>
  <c r="L24" i="7" s="1"/>
  <c r="M44" i="2"/>
  <c r="O14" i="7"/>
  <c r="O25" i="7"/>
  <c r="N13" i="7"/>
  <c r="N14" i="7"/>
  <c r="N19" i="7"/>
  <c r="C24" i="7"/>
  <c r="D23" i="7"/>
  <c r="D8" i="7"/>
  <c r="O19" i="7"/>
  <c r="O7" i="7"/>
  <c r="N7" i="7"/>
  <c r="N25" i="7"/>
  <c r="F8" i="7"/>
  <c r="F23" i="7"/>
  <c r="G8" i="7"/>
  <c r="I23" i="7"/>
  <c r="I8" i="7"/>
  <c r="O13" i="7"/>
  <c r="J23" i="7"/>
  <c r="J8" i="7"/>
  <c r="K23" i="7"/>
  <c r="E23" i="7"/>
  <c r="E8" i="7"/>
  <c r="H23" i="7"/>
  <c r="H8" i="7"/>
  <c r="F34" i="2"/>
  <c r="F15" i="7" s="1"/>
  <c r="F38" i="2"/>
  <c r="M34" i="2"/>
  <c r="E38" i="2"/>
  <c r="E34" i="2"/>
  <c r="E15" i="7" s="1"/>
  <c r="H38" i="2"/>
  <c r="H34" i="2"/>
  <c r="H15" i="7" s="1"/>
  <c r="I38" i="2"/>
  <c r="I34" i="2"/>
  <c r="I15" i="7" s="1"/>
  <c r="J38" i="2"/>
  <c r="J34" i="2"/>
  <c r="J15" i="7" s="1"/>
  <c r="K34" i="2"/>
  <c r="K15" i="7" s="1"/>
  <c r="K38" i="2"/>
  <c r="D38" i="2"/>
  <c r="D34" i="2"/>
  <c r="D15" i="7" s="1"/>
  <c r="J7" i="21" l="1"/>
  <c r="K4" i="21" s="1"/>
  <c r="D31" i="8"/>
  <c r="J8" i="16" s="1"/>
  <c r="K5" i="21"/>
  <c r="E53" i="8"/>
  <c r="E54" i="8" s="1"/>
  <c r="E49" i="8"/>
  <c r="K10" i="16" s="1"/>
  <c r="F45" i="8"/>
  <c r="F46" i="8"/>
  <c r="G19" i="8"/>
  <c r="G20" i="8" s="1"/>
  <c r="G12" i="8"/>
  <c r="G14" i="8" s="1"/>
  <c r="G48" i="8"/>
  <c r="G39" i="8"/>
  <c r="G44" i="8"/>
  <c r="G47" i="8"/>
  <c r="O23" i="7"/>
  <c r="O15" i="7"/>
  <c r="N15" i="7"/>
  <c r="N23" i="7"/>
  <c r="O8" i="7"/>
  <c r="N8" i="7"/>
  <c r="D39" i="2"/>
  <c r="D42" i="2"/>
  <c r="D44" i="2" s="1"/>
  <c r="D22" i="7" s="1"/>
  <c r="H39" i="2"/>
  <c r="H42" i="2"/>
  <c r="H44" i="2" s="1"/>
  <c r="H22" i="7" s="1"/>
  <c r="H24" i="7" s="1"/>
  <c r="K42" i="2"/>
  <c r="K44" i="2" s="1"/>
  <c r="K22" i="7" s="1"/>
  <c r="K24" i="7" s="1"/>
  <c r="E42" i="2"/>
  <c r="E44" i="2" s="1"/>
  <c r="E22" i="7" s="1"/>
  <c r="E24" i="7" s="1"/>
  <c r="J39" i="2"/>
  <c r="J42" i="2"/>
  <c r="J44" i="2" s="1"/>
  <c r="J22" i="7" s="1"/>
  <c r="J24" i="7" s="1"/>
  <c r="M42" i="2"/>
  <c r="F42" i="2"/>
  <c r="F44" i="2" s="1"/>
  <c r="F22" i="7" s="1"/>
  <c r="F24" i="7" s="1"/>
  <c r="I42" i="2"/>
  <c r="I44" i="2" s="1"/>
  <c r="I22" i="7" s="1"/>
  <c r="I24" i="7" s="1"/>
  <c r="K39" i="2"/>
  <c r="L39" i="2"/>
  <c r="M39" i="2" s="1"/>
  <c r="E39" i="2"/>
  <c r="F39" i="2"/>
  <c r="G39" i="2"/>
  <c r="I39" i="2"/>
  <c r="K7" i="21" l="1"/>
  <c r="L4" i="21" s="1"/>
  <c r="J8" i="21"/>
  <c r="J10" i="21" s="1"/>
  <c r="E31" i="8" s="1"/>
  <c r="K8" i="16" s="1"/>
  <c r="L5" i="21"/>
  <c r="F49" i="8"/>
  <c r="L10" i="16" s="1"/>
  <c r="G45" i="8"/>
  <c r="G46" i="8"/>
  <c r="F53" i="8"/>
  <c r="F54" i="8" s="1"/>
  <c r="D24" i="7"/>
  <c r="N22" i="7"/>
  <c r="O22" i="7"/>
  <c r="K13" i="9"/>
  <c r="K8" i="21" l="1"/>
  <c r="K10" i="21" s="1"/>
  <c r="F31" i="8" s="1"/>
  <c r="L8" i="16" s="1"/>
  <c r="G49" i="8"/>
  <c r="M10" i="16" s="1"/>
  <c r="L7" i="21"/>
  <c r="L8" i="21" s="1"/>
  <c r="L10" i="21" s="1"/>
  <c r="G31" i="8" s="1"/>
  <c r="G53" i="8"/>
  <c r="G54" i="8" s="1"/>
  <c r="O24" i="7"/>
  <c r="N24" i="7"/>
  <c r="I16" i="9"/>
  <c r="I15" i="9"/>
  <c r="K15" i="9"/>
  <c r="K16" i="9"/>
  <c r="K37" i="9" s="1"/>
  <c r="K40" i="9" s="1"/>
  <c r="K24" i="9" s="1"/>
  <c r="E30" i="9" l="1"/>
  <c r="K25" i="9" s="1"/>
  <c r="M8" i="16" l="1"/>
  <c r="J32" i="9"/>
  <c r="K33" i="9" s="1"/>
  <c r="C18" i="16" s="1"/>
  <c r="E28" i="9"/>
  <c r="D23" i="16" l="1"/>
  <c r="I13" i="16"/>
  <c r="L13" i="16"/>
  <c r="J13" i="16" l="1"/>
  <c r="K13" i="16"/>
  <c r="M13" i="16"/>
  <c r="I5" i="16" l="1"/>
  <c r="I7" i="16" s="1"/>
  <c r="I11" i="16" s="1"/>
  <c r="F26" i="8"/>
  <c r="D26" i="8"/>
  <c r="E26" i="8"/>
  <c r="G26" i="8"/>
  <c r="E62" i="8" l="1"/>
  <c r="K5" i="16" s="1"/>
  <c r="K7" i="16" s="1"/>
  <c r="K11" i="16" s="1"/>
  <c r="K15" i="16" s="1"/>
  <c r="E25" i="8"/>
  <c r="D62" i="8"/>
  <c r="J5" i="16" s="1"/>
  <c r="J7" i="16" s="1"/>
  <c r="J11" i="16" s="1"/>
  <c r="J15" i="16" s="1"/>
  <c r="D25" i="8"/>
  <c r="G62" i="8"/>
  <c r="M5" i="16" s="1"/>
  <c r="M7" i="16" s="1"/>
  <c r="M11" i="16" s="1"/>
  <c r="G25" i="8"/>
  <c r="F62" i="8"/>
  <c r="L5" i="16" s="1"/>
  <c r="L7" i="16" s="1"/>
  <c r="L11" i="16" s="1"/>
  <c r="L15" i="16" s="1"/>
  <c r="F25" i="8"/>
  <c r="I15" i="16"/>
  <c r="D22" i="16" l="1"/>
  <c r="D26" i="16" s="1"/>
  <c r="D31" i="16" s="1"/>
  <c r="M15" i="16"/>
  <c r="D30" i="16" s="1"/>
  <c r="D32" i="16" l="1"/>
  <c r="D36" i="16" s="1"/>
  <c r="D39" i="16" s="1"/>
  <c r="D42" i="16" l="1"/>
  <c r="G20"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tc={DA828144-3943-44B9-9A0F-56EB7B005A04}</author>
    <author>tc={26B49EA7-9402-4350-A1C8-FF1F42214DDE}</author>
    <author>tc={058592A4-399E-4D39-A12F-81B1A237D3DB}</author>
    <author>tc={A8B50CF8-9547-4E1F-B155-50EA3DA2BAEC}</author>
    <author>tc={A25D73E6-E51C-4D14-9826-B73771D8C962}</author>
  </authors>
  <commentList>
    <comment ref="C30" authorId="0" shapeId="0" xr:uid="{DA828144-3943-44B9-9A0F-56EB7B005A04}">
      <text>
        <t>[Threaded comment]
Your version of Excel allows you to read this threaded comment; however, any edits to it will get removed if the file is opened in a newer version of Excel. Learn more: https://go.microsoft.com/fwlink/?linkid=870924
Comment:
    Based on PPE Schedule</t>
      </text>
    </comment>
    <comment ref="C35" authorId="1" shapeId="0" xr:uid="{26B49EA7-9402-4350-A1C8-FF1F42214DDE}">
      <text>
        <t>[Threaded comment]
Your version of Excel allows you to read this threaded comment; however, any edits to it will get removed if the file is opened in a newer version of Excel. Learn more: https://go.microsoft.com/fwlink/?linkid=870924
Comment:
    Conservative Approach as debt is very less</t>
      </text>
    </comment>
    <comment ref="H39" authorId="2" shapeId="0" xr:uid="{058592A4-399E-4D39-A12F-81B1A237D3DB}">
      <text>
        <t xml:space="preserve">[Threaded comment]
Your version of Excel allows you to read this threaded comment; however, any edits to it will get removed if the file is opened in a newer version of Excel. Learn more: https://go.microsoft.com/fwlink/?linkid=870924
Comment:
    Taken as median of Capex/Sales where capex is taken as fixed asset purchased from cash flow statement
</t>
      </text>
    </comment>
    <comment ref="C44" authorId="3" shapeId="0" xr:uid="{A8B50CF8-9547-4E1F-B155-50EA3DA2BAEC}">
      <text>
        <t xml:space="preserve">[Threaded comment]
Your version of Excel allows you to read this threaded comment; however, any edits to it will get removed if the file is opened in a newer version of Excel. Learn more: https://go.microsoft.com/fwlink/?linkid=870924
Comment:
    11% of revenue as historically it has been that only
</t>
      </text>
    </comment>
    <comment ref="C47" authorId="4" shapeId="0" xr:uid="{A25D73E6-E51C-4D14-9826-B73771D8C962}">
      <text>
        <t xml:space="preserve">[Threaded comment]
Your version of Excel allows you to read this threaded comment; however, any edits to it will get removed if the file is opened in a newer version of Excel. Learn more: https://go.microsoft.com/fwlink/?linkid=870924
Comment:
    Take 14% of revenue as historically it has been that only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tc={7FBD8686-A85F-4614-B28B-E06C1BF0277B}</author>
  </authors>
  <commentList>
    <comment ref="E17" authorId="0" shapeId="0" xr:uid="{7FBD8686-A85F-4614-B28B-E06C1BF0277B}">
      <text>
        <t xml:space="preserve">[Threaded comment]
Your version of Excel allows you to read this threaded comment; however, any edits to it will get removed if the file is opened in a newer version of Excel. Learn more: https://go.microsoft.com/fwlink/?linkid=870924
Comment:
    Risk Free Bond Yield (G-Sec 10 Yrs) + Credit Spread by Aswath Damodaran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07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futureMetadata>
  <cellMetadata count="1">
    <bk>
      <rc t="1" v="0"/>
    </bk>
  </cellMetadata>
  <valueMetadata count="207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valueMetadata>
</metadata>
</file>

<file path=xl/sharedStrings.xml><?xml version="1.0" encoding="utf-8"?>
<sst xmlns="http://schemas.openxmlformats.org/spreadsheetml/2006/main" count="1532" uniqueCount="1034">
  <si>
    <t>Income Statement</t>
  </si>
  <si>
    <t>COGS</t>
  </si>
  <si>
    <t>Gross Profit</t>
  </si>
  <si>
    <t>EBITDA</t>
  </si>
  <si>
    <t>Depreciation</t>
  </si>
  <si>
    <t>Interest</t>
  </si>
  <si>
    <t>Other Income</t>
  </si>
  <si>
    <t>#</t>
  </si>
  <si>
    <t>Total</t>
  </si>
  <si>
    <t>Years</t>
  </si>
  <si>
    <t>Sales</t>
  </si>
  <si>
    <t>Expenses</t>
  </si>
  <si>
    <t>Operating Profit</t>
  </si>
  <si>
    <t>Profit before tax</t>
  </si>
  <si>
    <t>Tax</t>
  </si>
  <si>
    <t>Net profit</t>
  </si>
  <si>
    <t>Sales Growth</t>
  </si>
  <si>
    <t>Equity Share Capital</t>
  </si>
  <si>
    <t>Reserves</t>
  </si>
  <si>
    <t>Borrowings</t>
  </si>
  <si>
    <t>Other Liabilities</t>
  </si>
  <si>
    <t>Net Block</t>
  </si>
  <si>
    <t>Capital Work in Progress</t>
  </si>
  <si>
    <t>Investments</t>
  </si>
  <si>
    <t>Other Assets</t>
  </si>
  <si>
    <t>Inventory</t>
  </si>
  <si>
    <t>Cash from Operating Activity</t>
  </si>
  <si>
    <t>Cash from Investing Activity</t>
  </si>
  <si>
    <t>Cash from Financing Activity</t>
  </si>
  <si>
    <t>Net Cash Flow</t>
  </si>
  <si>
    <t>COGS % Sales</t>
  </si>
  <si>
    <t>EBT % Sales</t>
  </si>
  <si>
    <t>Effective Tax Rate</t>
  </si>
  <si>
    <t>Net Profit</t>
  </si>
  <si>
    <t>Net Margins</t>
  </si>
  <si>
    <t>Earnings per share</t>
  </si>
  <si>
    <t>Dividend per share</t>
  </si>
  <si>
    <t>Retained Earnings</t>
  </si>
  <si>
    <t>LTM</t>
  </si>
  <si>
    <t>-</t>
  </si>
  <si>
    <t>EBITDA Margins</t>
  </si>
  <si>
    <t>Gross Margins</t>
  </si>
  <si>
    <t>Earnings Before Tax</t>
  </si>
  <si>
    <t>PRICE:</t>
  </si>
  <si>
    <t>DERIVED:</t>
  </si>
  <si>
    <t>Adjusted Equity Shares in Cr</t>
  </si>
  <si>
    <t>No. of Equity Shares</t>
  </si>
  <si>
    <t>COMPANY NAME</t>
  </si>
  <si>
    <t>LATEST VERSION</t>
  </si>
  <si>
    <t>PLEASE DO NOT MAKE ANY CHANGES TO THIS SHEET</t>
  </si>
  <si>
    <t>CURRENT VERSION</t>
  </si>
  <si>
    <t>META</t>
  </si>
  <si>
    <t>Number of shares</t>
  </si>
  <si>
    <t>Face Value</t>
  </si>
  <si>
    <t>Current Price</t>
  </si>
  <si>
    <t>Market Capitalization</t>
  </si>
  <si>
    <t>PROFIT &amp; LOSS</t>
  </si>
  <si>
    <t>Report Date</t>
  </si>
  <si>
    <t>Raw Material Cost</t>
  </si>
  <si>
    <t>Change in Inventory</t>
  </si>
  <si>
    <t>Power and Fuel</t>
  </si>
  <si>
    <t>Other Mfr. Exp</t>
  </si>
  <si>
    <t>Employee Cost</t>
  </si>
  <si>
    <t>Selling and admin</t>
  </si>
  <si>
    <t>Other Expenses</t>
  </si>
  <si>
    <t>Dividend Amount</t>
  </si>
  <si>
    <t>Quarters</t>
  </si>
  <si>
    <t>BALANCE SHEET</t>
  </si>
  <si>
    <t>Receivables</t>
  </si>
  <si>
    <t>Cash &amp; Bank</t>
  </si>
  <si>
    <t>New Bonus Shares</t>
  </si>
  <si>
    <t>Face value</t>
  </si>
  <si>
    <t>CASH FLOW:</t>
  </si>
  <si>
    <t>EPS Growth %</t>
  </si>
  <si>
    <t>Dividend payout ratio</t>
  </si>
  <si>
    <t>Balance Sheet</t>
  </si>
  <si>
    <t>Total Liabilities</t>
  </si>
  <si>
    <t>Fixed Assets Net Block</t>
  </si>
  <si>
    <t>Total Non Current Assets</t>
  </si>
  <si>
    <t>Total Current Assets</t>
  </si>
  <si>
    <t>Total Assets</t>
  </si>
  <si>
    <t>CHECK</t>
  </si>
  <si>
    <t>Profit from operations</t>
  </si>
  <si>
    <t>Payables</t>
  </si>
  <si>
    <t>Other WC items</t>
  </si>
  <si>
    <t>Working capital changes</t>
  </si>
  <si>
    <t>Direct taxes</t>
  </si>
  <si>
    <t>Fixed assets purchased</t>
  </si>
  <si>
    <t>Fixed assets sold</t>
  </si>
  <si>
    <t>Investments purchased</t>
  </si>
  <si>
    <t>Investments sold</t>
  </si>
  <si>
    <t>Interest received</t>
  </si>
  <si>
    <t>Dividends received</t>
  </si>
  <si>
    <t>Investment in group cos</t>
  </si>
  <si>
    <t>Redemp n Canc of Shares</t>
  </si>
  <si>
    <t>Acquisition of companies</t>
  </si>
  <si>
    <t>Other investing items</t>
  </si>
  <si>
    <t>Proceeds from shares</t>
  </si>
  <si>
    <t>Proceeds from borrowings</t>
  </si>
  <si>
    <t>Repayment of borrowings</t>
  </si>
  <si>
    <t>Interest paid fin</t>
  </si>
  <si>
    <t>Dividends paid</t>
  </si>
  <si>
    <t>Financial liabilities</t>
  </si>
  <si>
    <t>Other financing items</t>
  </si>
  <si>
    <t>Free Cash Flow</t>
  </si>
  <si>
    <t>Cash Flow Statement</t>
  </si>
  <si>
    <t>Cash from Operating Activities</t>
  </si>
  <si>
    <t>Operating Activities</t>
  </si>
  <si>
    <t>Investing Activities</t>
  </si>
  <si>
    <t>Cash From Investing Activities</t>
  </si>
  <si>
    <t>Financing Activities</t>
  </si>
  <si>
    <t>Cash from Financing Activities</t>
  </si>
  <si>
    <t>NET CASH FLOW</t>
  </si>
  <si>
    <t>EBITDA Growth</t>
  </si>
  <si>
    <t>EBIT Growth</t>
  </si>
  <si>
    <t>Net Profit Growth</t>
  </si>
  <si>
    <t>Dividend Growth</t>
  </si>
  <si>
    <t>EBITDA Margin</t>
  </si>
  <si>
    <t>EBIT Margin</t>
  </si>
  <si>
    <t>EBT Margin</t>
  </si>
  <si>
    <t>Net Profit Margin</t>
  </si>
  <si>
    <t>Sales Expense % Sales</t>
  </si>
  <si>
    <t>Operating Income % Sales</t>
  </si>
  <si>
    <t>Return on Capital Employed</t>
  </si>
  <si>
    <t>Return on Equity %</t>
  </si>
  <si>
    <t>Interest Coverage Ratio</t>
  </si>
  <si>
    <t>Debtor Turnover Ratio</t>
  </si>
  <si>
    <t>Creditor Turnover ratio</t>
  </si>
  <si>
    <t>Inventory Turnover Ratio</t>
  </si>
  <si>
    <t>Fixed Asset Turnover ratio</t>
  </si>
  <si>
    <t>Capital Turonver Ratio</t>
  </si>
  <si>
    <t>Days taken</t>
  </si>
  <si>
    <t>Debtor Days</t>
  </si>
  <si>
    <t>Payable Days</t>
  </si>
  <si>
    <t>Cash Conversion Cycle</t>
  </si>
  <si>
    <t>CFO/Sales</t>
  </si>
  <si>
    <t>CFO/Total Assets</t>
  </si>
  <si>
    <t>CFO/Total Debt</t>
  </si>
  <si>
    <t>Retained Earnings %</t>
  </si>
  <si>
    <t>Self Sustained Growth Rate</t>
  </si>
  <si>
    <t>Inventory Days</t>
  </si>
  <si>
    <t>Mean</t>
  </si>
  <si>
    <t>Median</t>
  </si>
  <si>
    <t>Year</t>
  </si>
  <si>
    <t>All Figures in INR unless stated otherwise</t>
  </si>
  <si>
    <t>Peer Comps</t>
  </si>
  <si>
    <t>Name of the Comp</t>
  </si>
  <si>
    <t>Country</t>
  </si>
  <si>
    <t>Total Debt</t>
  </si>
  <si>
    <t>Total Equity</t>
  </si>
  <si>
    <t>Tax Rate</t>
  </si>
  <si>
    <r>
      <t>Tax Rate</t>
    </r>
    <r>
      <rPr>
        <vertAlign val="superscript"/>
        <sz val="11"/>
        <color theme="1"/>
        <rFont val="Calibri"/>
        <family val="2"/>
        <scheme val="minor"/>
      </rPr>
      <t>1</t>
    </r>
  </si>
  <si>
    <t>Debt</t>
  </si>
  <si>
    <t>Debt/</t>
  </si>
  <si>
    <t>Equity</t>
  </si>
  <si>
    <t>Capital</t>
  </si>
  <si>
    <t>Levered</t>
  </si>
  <si>
    <r>
      <t>Beta</t>
    </r>
    <r>
      <rPr>
        <vertAlign val="superscript"/>
        <sz val="11"/>
        <color theme="1"/>
        <rFont val="Calibri"/>
        <family val="2"/>
        <scheme val="minor"/>
      </rPr>
      <t>2</t>
    </r>
  </si>
  <si>
    <t>Unlevered</t>
  </si>
  <si>
    <r>
      <t>Beta</t>
    </r>
    <r>
      <rPr>
        <vertAlign val="superscript"/>
        <sz val="11"/>
        <color theme="1"/>
        <rFont val="Calibri"/>
        <family val="2"/>
        <scheme val="minor"/>
      </rPr>
      <t>3</t>
    </r>
  </si>
  <si>
    <t>India</t>
  </si>
  <si>
    <t>Cost Of Debt</t>
  </si>
  <si>
    <t>Post Tax Cost of Debt</t>
  </si>
  <si>
    <t>Risk Free Rate</t>
  </si>
  <si>
    <t>Levered Beta</t>
  </si>
  <si>
    <r>
      <t>Levered Beta</t>
    </r>
    <r>
      <rPr>
        <vertAlign val="superscript"/>
        <sz val="11"/>
        <color theme="1"/>
        <rFont val="Calibri"/>
        <family val="2"/>
        <scheme val="minor"/>
      </rPr>
      <t>4</t>
    </r>
  </si>
  <si>
    <t>Cost of Equity</t>
  </si>
  <si>
    <t>Capital Structure</t>
  </si>
  <si>
    <t>Current</t>
  </si>
  <si>
    <t>Target</t>
  </si>
  <si>
    <t>Total Capital</t>
  </si>
  <si>
    <t>Debt/ Equity</t>
  </si>
  <si>
    <t>Weighted Average Cost of Capital</t>
  </si>
  <si>
    <t>Total Cost</t>
  </si>
  <si>
    <t>Total Weight</t>
  </si>
  <si>
    <t>WACC</t>
  </si>
  <si>
    <t>Notes:</t>
  </si>
  <si>
    <t>1.Tax rate is  considered as marginal tax rate for the countries</t>
  </si>
  <si>
    <t>3. Unlevered Beta = Levered Beta/(1+(1-Tax Rate)*Debt/Equity</t>
  </si>
  <si>
    <t>4. Levered Beta = Unlevered Beta*(1+(1-Tax Rate)*Debt/Equity</t>
  </si>
  <si>
    <t xml:space="preserve">Equity Risk Premium </t>
  </si>
  <si>
    <t>Regression Beta</t>
  </si>
  <si>
    <t>Levered Raw Beta</t>
  </si>
  <si>
    <t>Beta Weight</t>
  </si>
  <si>
    <t>Market Beta Weight</t>
  </si>
  <si>
    <t>Market Beta</t>
  </si>
  <si>
    <t>Adjusted Beta</t>
  </si>
  <si>
    <t xml:space="preserve">Raw Beta </t>
  </si>
  <si>
    <t>Pre Tax Cost of Debt</t>
  </si>
  <si>
    <t>Levered Beta (Comps)</t>
  </si>
  <si>
    <t>Comps Median Unlevered Beta</t>
  </si>
  <si>
    <t>Target Debt/Equity</t>
  </si>
  <si>
    <t>Average</t>
  </si>
  <si>
    <t>Annual</t>
  </si>
  <si>
    <t>Average Return</t>
  </si>
  <si>
    <t>Dividend Yield</t>
  </si>
  <si>
    <t>Market Returns</t>
  </si>
  <si>
    <t>Total Market Return</t>
  </si>
  <si>
    <t>Fixed Asset Net Block</t>
  </si>
  <si>
    <t>Equity Capital</t>
  </si>
  <si>
    <t>Long term Borrowings</t>
  </si>
  <si>
    <t>Short term Borrowings</t>
  </si>
  <si>
    <t>Lease Liabilities</t>
  </si>
  <si>
    <t>Other Borrowings</t>
  </si>
  <si>
    <t>Non controlling int</t>
  </si>
  <si>
    <t>Trade Payables</t>
  </si>
  <si>
    <t>Advance from Customers</t>
  </si>
  <si>
    <t>Other liability items</t>
  </si>
  <si>
    <t>Land</t>
  </si>
  <si>
    <t>Building</t>
  </si>
  <si>
    <t>Plant Machinery</t>
  </si>
  <si>
    <t>Equipments</t>
  </si>
  <si>
    <t>Furniture n fittings</t>
  </si>
  <si>
    <t>Vehicles</t>
  </si>
  <si>
    <t>Intangible Assets</t>
  </si>
  <si>
    <t>Other fixed assets</t>
  </si>
  <si>
    <t>Gross Block</t>
  </si>
  <si>
    <t>Accumulated Depreciation</t>
  </si>
  <si>
    <t>CWIP</t>
  </si>
  <si>
    <t>Inventories</t>
  </si>
  <si>
    <t>Cash Equivalents</t>
  </si>
  <si>
    <t>Loans n Advances</t>
  </si>
  <si>
    <t>Other asset items</t>
  </si>
  <si>
    <t>Trade Payable</t>
  </si>
  <si>
    <t>EBIT</t>
  </si>
  <si>
    <t>Calculation PV of FCFF</t>
  </si>
  <si>
    <t>EBIT*(1-tax)</t>
  </si>
  <si>
    <t>Mid Year Convention</t>
  </si>
  <si>
    <t>Discounting Factor</t>
  </si>
  <si>
    <t>PV of FCFF</t>
  </si>
  <si>
    <t>Terminal Growth</t>
  </si>
  <si>
    <t>Calculation of Terminal Value</t>
  </si>
  <si>
    <t>FCFF(N+1)</t>
  </si>
  <si>
    <t>Terminal Growth Rate</t>
  </si>
  <si>
    <t>Terminal Value</t>
  </si>
  <si>
    <t>Calculation of Equity Value</t>
  </si>
  <si>
    <t>PV of Terminal Value</t>
  </si>
  <si>
    <t>Add: Cash</t>
  </si>
  <si>
    <t>Less: Debt</t>
  </si>
  <si>
    <t>No. of Shares</t>
  </si>
  <si>
    <t>Equity Value per share</t>
  </si>
  <si>
    <t>Share Price</t>
  </si>
  <si>
    <t>Premium/Discount</t>
  </si>
  <si>
    <t>ASIAN PAINTS LTD</t>
  </si>
  <si>
    <t>Interest % Debt</t>
  </si>
  <si>
    <t>Depreciation % Gross Block</t>
  </si>
  <si>
    <t>Oth Op Exp % Sales</t>
  </si>
  <si>
    <t>Berger Paints</t>
  </si>
  <si>
    <t>kansai Nerolac</t>
  </si>
  <si>
    <t>JSW Dulux</t>
  </si>
  <si>
    <t>Indigo Paints</t>
  </si>
  <si>
    <t>Sirca Paints</t>
  </si>
  <si>
    <t>Cost Of Equity</t>
  </si>
  <si>
    <t>Weekly Returns</t>
  </si>
  <si>
    <t>Weekly Return</t>
  </si>
  <si>
    <t>Beta Drifting - AP</t>
  </si>
  <si>
    <t>Beta Drifting - KN</t>
  </si>
  <si>
    <t>Beta Drifting - BP</t>
  </si>
  <si>
    <t>Beta Drifting - JSWD</t>
  </si>
  <si>
    <t>Beta Drifting - IP</t>
  </si>
  <si>
    <t>Beta Drifting - SP</t>
  </si>
  <si>
    <t>2. Levered Beta is based on 5 year Weekly data</t>
  </si>
  <si>
    <t>Other Operating Expense</t>
  </si>
  <si>
    <r>
      <t>Borrowings </t>
    </r>
    <r>
      <rPr>
        <sz val="11"/>
        <color rgb="FF665EFD"/>
        <rFont val="Arial"/>
        <family val="2"/>
      </rPr>
      <t>-</t>
    </r>
  </si>
  <si>
    <r>
      <t>Other Liabilities </t>
    </r>
    <r>
      <rPr>
        <sz val="11"/>
        <color rgb="FF665EFD"/>
        <rFont val="Arial"/>
        <family val="2"/>
      </rPr>
      <t>-</t>
    </r>
  </si>
  <si>
    <r>
      <t>Fixed Assets </t>
    </r>
    <r>
      <rPr>
        <sz val="11"/>
        <color rgb="FF665EFD"/>
        <rFont val="Arial"/>
        <family val="2"/>
      </rPr>
      <t>-</t>
    </r>
  </si>
  <si>
    <t>Trade receivables </t>
  </si>
  <si>
    <t>Other Assets </t>
  </si>
  <si>
    <r>
      <t>Cash from Operating Activity </t>
    </r>
    <r>
      <rPr>
        <sz val="11"/>
        <color rgb="FF665EFD"/>
        <rFont val="Arial"/>
        <family val="2"/>
      </rPr>
      <t>-</t>
    </r>
  </si>
  <si>
    <r>
      <t>Cash from Investing Activity </t>
    </r>
    <r>
      <rPr>
        <b/>
        <sz val="11"/>
        <color rgb="FF665EFD"/>
        <rFont val="Arial"/>
        <family val="2"/>
      </rPr>
      <t>-</t>
    </r>
  </si>
  <si>
    <r>
      <t>Cash from Financing Activity </t>
    </r>
    <r>
      <rPr>
        <b/>
        <sz val="11"/>
        <color rgb="FF665EFD"/>
        <rFont val="Arial"/>
        <family val="2"/>
      </rPr>
      <t>-</t>
    </r>
  </si>
  <si>
    <t>Section 1: Revenue</t>
  </si>
  <si>
    <t>Volume Growth</t>
  </si>
  <si>
    <t>Gross Margin</t>
  </si>
  <si>
    <t>Section 2: Gross Margin &amp; COGS</t>
  </si>
  <si>
    <t>Section 3 : Operating Expenses</t>
  </si>
  <si>
    <t>Other Operating Expenses</t>
  </si>
  <si>
    <t>Total Forecast of Op Exp as % Sales</t>
  </si>
  <si>
    <t>Section 4 : EBITDA</t>
  </si>
  <si>
    <t>Section 5 : Depreciation</t>
  </si>
  <si>
    <t>Section 6 : Interest</t>
  </si>
  <si>
    <t>Section 7: Capital Expenditure</t>
  </si>
  <si>
    <t>Capex</t>
  </si>
  <si>
    <t>Other Current Assets</t>
  </si>
  <si>
    <t>Working Capital</t>
  </si>
  <si>
    <t>Trade Recievable</t>
  </si>
  <si>
    <t>Other Current Liabilities</t>
  </si>
  <si>
    <t>Section 9: Fixed Asset</t>
  </si>
  <si>
    <t>Opening PPE</t>
  </si>
  <si>
    <t>Dividend Payout %</t>
  </si>
  <si>
    <t>Section 10: Dividend payout</t>
  </si>
  <si>
    <t>Section 8: Operating Working Capital</t>
  </si>
  <si>
    <t>Revenue Growth</t>
  </si>
  <si>
    <t xml:space="preserve">Revenue </t>
  </si>
  <si>
    <t xml:space="preserve">COGS </t>
  </si>
  <si>
    <t>EBIDTA Margin</t>
  </si>
  <si>
    <t>FY2025</t>
  </si>
  <si>
    <t>Q1</t>
  </si>
  <si>
    <t>Q2</t>
  </si>
  <si>
    <t>Q3</t>
  </si>
  <si>
    <t>Q4</t>
  </si>
  <si>
    <t>Volume % growth</t>
  </si>
  <si>
    <t>Value growth%</t>
  </si>
  <si>
    <t>Distribution Network</t>
  </si>
  <si>
    <t>1.65 Lakhs</t>
  </si>
  <si>
    <t>+300000 KL</t>
  </si>
  <si>
    <t>Capacity Expansion</t>
  </si>
  <si>
    <t>home Décor</t>
  </si>
  <si>
    <t>As per Management Guidance</t>
  </si>
  <si>
    <t>Key Driver</t>
  </si>
  <si>
    <t>Assumption / Analysis (One Line)</t>
  </si>
  <si>
    <t>Expected to improve gradually, supported by rural recovery, festive demand, and stronger institutional activity.</t>
  </si>
  <si>
    <t>Expected to remain strong (9–11%) driven by wider distribution, rural demand, and festive season.</t>
  </si>
  <si>
    <t>Value Growth</t>
  </si>
  <si>
    <t>Expected to recover gradually as price hikes and an improved product mix offset the impact of earlier price cuts.</t>
  </si>
  <si>
    <t>Pricing</t>
  </si>
  <si>
    <t>Moderate price increases are expected to offset raw material inflation and support profitability.</t>
  </si>
  <si>
    <t>Product Mix</t>
  </si>
  <si>
    <t>Expected to improve with a higher contribution from premium products, leading to better realizations.</t>
  </si>
  <si>
    <t>Rural Demand</t>
  </si>
  <si>
    <t>Expected to strengthen due to improved monsoon, better farm income, and recovery in Tier III &amp; IV markets.</t>
  </si>
  <si>
    <t>Premiumization</t>
  </si>
  <si>
    <t>Premium portfolio is expected to gain traction, supporting higher margins and revenue quality.</t>
  </si>
  <si>
    <t>Continued expansion of retail touchpoints is expected to drive market penetration and long-term volume growth.</t>
  </si>
  <si>
    <t>Capacity Utilization</t>
  </si>
  <si>
    <t>Existing manufacturing capacity is sufficient to support future growth without major capacity constraints.</t>
  </si>
  <si>
    <t>Home Décor Business</t>
  </si>
  <si>
    <t>Expected to grow faster than the core paint business through store expansion and cross-selling opportunities.</t>
  </si>
  <si>
    <t>Industrial Business</t>
  </si>
  <si>
    <t>Expected to deliver steady growth supported by strong automotive and industrial coatings demand.</t>
  </si>
  <si>
    <t>International Business</t>
  </si>
  <si>
    <t>Growth is expected to remain moderate due to macroeconomic weakness and currency headwinds in key markets.</t>
  </si>
  <si>
    <t>Expected to remain stable at healthy levels, supported by pricing actions and sourcing efficiencies despite inflation.</t>
  </si>
  <si>
    <t>Operating Expenses</t>
  </si>
  <si>
    <t>Operating expenses are expected to remain elevated in the near term due to investments in people and distribution.</t>
  </si>
  <si>
    <t>Expected to remain within management's target range of 18–20% as operating leverage improves.</t>
  </si>
  <si>
    <t>Working capital efficiency is expected to remain strong, supported by disciplined inventory and dealer management.</t>
  </si>
  <si>
    <t>Capital Expenditure</t>
  </si>
  <si>
    <t>Capex is expected to normalize, with investments focused on maintenance and Home Décor expansion rather than new manufacturing capacity.</t>
  </si>
  <si>
    <t>1,67 lakhs</t>
  </si>
  <si>
    <t>Q2 FY25 Assumption / Analysis (One Line)</t>
  </si>
  <si>
    <t>Revenue growth is expected to recover gradually as demand improves with better rural sentiment, government spending and wedding season, although near-term recovery remains cautious.</t>
  </si>
  <si>
    <r>
      <t xml:space="preserve">Management now expects </t>
    </r>
    <r>
      <rPr>
        <b/>
        <sz val="11"/>
        <color theme="1"/>
        <rFont val="Calibri"/>
        <family val="2"/>
        <scheme val="minor"/>
      </rPr>
      <t>single-digit volume growth</t>
    </r>
    <r>
      <rPr>
        <sz val="11"/>
        <color theme="1"/>
        <rFont val="Calibri"/>
        <family val="2"/>
        <scheme val="minor"/>
      </rPr>
      <t xml:space="preserve"> for FY25, reflecting weaker consumer demand and extended monsoon disruptions.</t>
    </r>
  </si>
  <si>
    <t>Value growth is expected to remain under pressure in the near term due to earlier price reductions, adverse product mix and higher competitive discounting, with gradual improvement from Q3 onwards.</t>
  </si>
  <si>
    <t>The 1.2% price hike taken in Q2 is expected to fully flow through from Q3, supporting realizations and partially offsetting raw material inflation.</t>
  </si>
  <si>
    <t>Product mix is expected to improve gradually as premium products recover and demand normalizes, supporting realizations and margins.</t>
  </si>
  <si>
    <t>Rural markets continue to outperform urban markets and are expected to strengthen further following a good monsoon and higher government spending.</t>
  </si>
  <si>
    <t>Urban Demand</t>
  </si>
  <si>
    <t>Urban demand is expected to remain weak in the near term due to subdued consumer sentiment and slower discretionary spending.</t>
  </si>
  <si>
    <t>Premium portfolio expansion through product innovation and upgraded offerings is expected to improve realizations over the medium term.</t>
  </si>
  <si>
    <r>
      <t xml:space="preserve">Continued expansion beyond </t>
    </r>
    <r>
      <rPr>
        <b/>
        <sz val="11"/>
        <color theme="1"/>
        <rFont val="Calibri"/>
        <family val="2"/>
        <scheme val="minor"/>
      </rPr>
      <t>1.67 lakh retail touchpoints</t>
    </r>
    <r>
      <rPr>
        <sz val="11"/>
        <color theme="1"/>
        <rFont val="Calibri"/>
        <family val="2"/>
        <scheme val="minor"/>
      </rPr>
      <t xml:space="preserve"> is expected to support long-term market penetration and volume growth.</t>
    </r>
  </si>
  <si>
    <t>Services Business</t>
  </si>
  <si>
    <t>Beautiful Homes Painting Services and Trusted Contractor Services continue to gain traction, strengthening customer engagement and recurring business.</t>
  </si>
  <si>
    <t>Institutional Business</t>
  </si>
  <si>
    <t>Projects and institutional business is expected to improve gradually as construction activity and government projects recover.</t>
  </si>
  <si>
    <t>Innovation</t>
  </si>
  <si>
    <t>Continuous product innovation and new product launches are expected to support premiumization and differentiation, with new products contributing around 12% of revenue.</t>
  </si>
  <si>
    <t>Brownfield capacity expansion is largely complete, while backward integration projects remain on track, reducing future supply constraints.</t>
  </si>
  <si>
    <t>Home Décor is expected to continue outperforming the core paint business over the long term despite temporary demand softness.</t>
  </si>
  <si>
    <t>Industrial coatings are expected to remain a key growth driver, supported by healthy automotive OEM, refinish and protective coatings demand.</t>
  </si>
  <si>
    <t>International business is expected to recover gradually as Bangladesh stabilizes and Nepal improves, although currency volatility remains a key risk.</t>
  </si>
  <si>
    <t>Raw Material Costs</t>
  </si>
  <si>
    <t>Raw material inflation is expected to soften, although volatility in crude oil prices remains an important risk to margins.</t>
  </si>
  <si>
    <t>Gross margins are expected to recover gradually from Q3, supported by price hikes, easing input costs and improving product mix.</t>
  </si>
  <si>
    <t>Employee and sales expenses are expected to normalize as revenue growth improves, resulting in better operating leverage.</t>
  </si>
  <si>
    <r>
      <t xml:space="preserve">EBITDA margins are expected to recover toward management's </t>
    </r>
    <r>
      <rPr>
        <b/>
        <sz val="11"/>
        <color theme="1"/>
        <rFont val="Calibri"/>
        <family val="2"/>
        <scheme val="minor"/>
      </rPr>
      <t>18–20% guidance</t>
    </r>
    <r>
      <rPr>
        <sz val="11"/>
        <color theme="1"/>
        <rFont val="Calibri"/>
        <family val="2"/>
        <scheme val="minor"/>
      </rPr>
      <t xml:space="preserve"> as pricing benefits and operating leverage improve.</t>
    </r>
  </si>
  <si>
    <t>Working capital discipline is expected to remain strong, with management maintaining optimal dealer inventory and protecting dealer ROI.</t>
  </si>
  <si>
    <t>Future capex is expected to focus on backward integration, Home Décor expansion and maintenance rather than major paint capacity additions.</t>
  </si>
  <si>
    <t>Competitive Intensity</t>
  </si>
  <si>
    <t>Competitive intensity is expected to remain elevated in the near term, particularly in economy paints, waterproofing and putty, resulting in continued pricing pressure.</t>
  </si>
  <si>
    <t>Outlook</t>
  </si>
  <si>
    <t>Management remains cautiously optimistic, expecting demand to improve in H2 supported by rural recovery, weddings, infrastructure spending and easing raw material costs.</t>
  </si>
  <si>
    <t>1,69 Lakhs</t>
  </si>
  <si>
    <t>One-Line Analysis / Assumption</t>
  </si>
  <si>
    <t>Revenue growth is expected to recover gradually, supported by improving rural demand, B2B recovery and industrial growth despite continued urban weakness.</t>
  </si>
  <si>
    <t>Decorative Paint Demand</t>
  </si>
  <si>
    <t>Decorative demand remained weak due to muted consumer sentiment, weak festive spending and slower urban consumption.</t>
  </si>
  <si>
    <t>Volume growth remained positive at 1.6%, indicating resilient underlying demand despite a challenging market environment.</t>
  </si>
  <si>
    <t>Value declined due to downtrading and lower realizations as consumers shifted toward economy products.</t>
  </si>
  <si>
    <t>Previous price hikes supported realizations, while future pricing will depend on raw material costs and market conditions.</t>
  </si>
  <si>
    <t>Downtrading / Product Mix</t>
  </si>
  <si>
    <t>Consumer preference shifted towards lower-priced products, adversely impacting value growth and profitability.</t>
  </si>
  <si>
    <t>Rural demand remained relatively resilient and is expected to benefit from good monsoons and higher government spending.</t>
  </si>
  <si>
    <t>Urban demand continues to remain under pressure due to weak discretionary consumption.</t>
  </si>
  <si>
    <t>Distribution Expansion</t>
  </si>
  <si>
    <t>Continued expansion to around 1.69 lakh retail touchpoints strengthens long-term market reach and penetration.</t>
  </si>
  <si>
    <t>Painting Services</t>
  </si>
  <si>
    <t>Beautiful Homes Painting Services continued to gain strong customer acceptance, supporting premium service revenues.</t>
  </si>
  <si>
    <t>Institutional / Projects Business</t>
  </si>
  <si>
    <t>Institutional demand improved on the back of stronger factory, builder and government project activity.</t>
  </si>
  <si>
    <t>New product launches contributed over 12% of revenue, reinforcing premiumization and product differentiation.</t>
  </si>
  <si>
    <t>The company continues investing in premium and luxury products to improve long-term realizations and margins.</t>
  </si>
  <si>
    <t>Home Décor</t>
  </si>
  <si>
    <t>Home Décor continues expanding strategically despite slower growth caused by weak urban demand.</t>
  </si>
  <si>
    <t>Industrial coatings outperformed decorative paints, driven by auto, refinish and protective coatings.</t>
  </si>
  <si>
    <t>International business delivered strong constant currency growth, led by Asia and the Middle East despite African currency headwinds.</t>
  </si>
  <si>
    <t>Capacity / Backward Integration</t>
  </si>
  <si>
    <t>Backward integration projects remain on track and are expected to enhance long-term cost efficiency.</t>
  </si>
  <si>
    <t>Sequential margin improvement was supported by material price deflation and sourcing efficiencies.</t>
  </si>
  <si>
    <t>Gross margins improved sequentially but remained below last year's level due to weaker product mix.</t>
  </si>
  <si>
    <t>Operating deleverage from weak revenue growth continued to pressure profitability.</t>
  </si>
  <si>
    <t>EBITDA / PBDIT Margin</t>
  </si>
  <si>
    <t>Management reiterated its medium-term PBDIT margin guidance of 18–20% despite the challenging demand environment.</t>
  </si>
  <si>
    <t>Efficient inventory management and an expanding distribution network are expected to support healthy working capital.</t>
  </si>
  <si>
    <t>Capital expenditure remains focused on backward integration and strengthening long-term manufacturing capabilities.</t>
  </si>
  <si>
    <t>The industry remains competitive, but management continues prioritizing brand strength and profitability over aggressive price-led growth.</t>
  </si>
  <si>
    <t>Management Outlook</t>
  </si>
  <si>
    <t>Management remains cautiously optimistic, expecting gradual recovery over the next two quarters supported by rural demand, industrial growth and government spending.</t>
  </si>
  <si>
    <t>Forecast for FY2026</t>
  </si>
  <si>
    <t>EBITDA Amrgin</t>
  </si>
  <si>
    <t>~19%</t>
  </si>
  <si>
    <t>~7%</t>
  </si>
  <si>
    <t>~3%</t>
  </si>
  <si>
    <t>Theme</t>
  </si>
  <si>
    <t>One-Line Summary</t>
  </si>
  <si>
    <t>1. FY25 – Cyclical vs Structural</t>
  </si>
  <si>
    <t>FY25 appears to be a cyclical demand slowdown rather than a structural deterioration in Asian Paints' competitive position.</t>
  </si>
  <si>
    <t>2. Continued Investments</t>
  </si>
  <si>
    <t>Management prioritized long-term investments over short-term earnings, reflecting confidence in future industry recovery.</t>
  </si>
  <si>
    <t>3. Strategic Transformation</t>
  </si>
  <si>
    <t>Asian Paints is evolving from a paint manufacturer into a comprehensive home décor and home improvement solutions company.</t>
  </si>
  <si>
    <t>4. Distribution Moat</t>
  </si>
  <si>
    <t>Continuous expansion of its retail network reinforces Asian Paints' strongest competitive advantage and market leadership.</t>
  </si>
  <si>
    <t>5. Cost Leadership Strategy</t>
  </si>
  <si>
    <t>Backward integration and sourcing efficiencies are designed to protect margins amid rising competitive intensity.</t>
  </si>
  <si>
    <t>6. Premiumization Strategy</t>
  </si>
  <si>
    <t>The company continues strengthening its portfolio across premium, luxury and value segments to capture every customer category.</t>
  </si>
  <si>
    <t>7. Margin Discipline</t>
  </si>
  <si>
    <t>Despite industry headwinds, management remains committed to sustaining its long-term EBITDA margin guidance of 18–20%.</t>
  </si>
  <si>
    <t>8. Competitive Landscape</t>
  </si>
  <si>
    <t>Competition has become structurally more intense, making execution and brand strength increasingly important.</t>
  </si>
  <si>
    <t>9. Home Décor Vision</t>
  </si>
  <si>
    <t>Home Décor remains a long-term strategic growth platform despite short-term profitability pressures.</t>
  </si>
  <si>
    <t>10. FY26–FY28 Outlook</t>
  </si>
  <si>
    <t>A gradual recovery in demand, supported by rural growth, infrastructure spending and premium housing, should drive earnings normalization over the medium term.</t>
  </si>
  <si>
    <t>Q4 Initiative</t>
  </si>
  <si>
    <t>One-Line Equity Research Summary</t>
  </si>
  <si>
    <t>Demand Environment</t>
  </si>
  <si>
    <t>Demand remained weak, with urban markets continuing to lag while rural markets showed relatively better resilience.</t>
  </si>
  <si>
    <r>
      <t xml:space="preserve">Continued expansion to </t>
    </r>
    <r>
      <rPr>
        <b/>
        <sz val="11"/>
        <color theme="1"/>
        <rFont val="Calibri"/>
        <family val="2"/>
        <scheme val="minor"/>
      </rPr>
      <t>1.69 lakh retail touchpoints</t>
    </r>
    <r>
      <rPr>
        <sz val="11"/>
        <color theme="1"/>
        <rFont val="Calibri"/>
        <family val="2"/>
        <scheme val="minor"/>
      </rPr>
      <t xml:space="preserve"> reinforces long-term market penetration and competitive advantage.</t>
    </r>
  </si>
  <si>
    <t>Beautiful Homes Painting Services continues to strengthen customer engagement and generate recurring business opportunities.</t>
  </si>
  <si>
    <t>B2B / Institutional Business</t>
  </si>
  <si>
    <t>Institutional and government projects emerged as an important growth engine amid weak retail demand.</t>
  </si>
  <si>
    <r>
      <t xml:space="preserve">Innovation remains a key differentiator, with new products contributing approximately </t>
    </r>
    <r>
      <rPr>
        <b/>
        <sz val="11"/>
        <color theme="1"/>
        <rFont val="Calibri"/>
        <family val="2"/>
        <scheme val="minor"/>
      </rPr>
      <t>14%</t>
    </r>
    <r>
      <rPr>
        <sz val="11"/>
        <color theme="1"/>
        <rFont val="Calibri"/>
        <family val="2"/>
        <scheme val="minor"/>
      </rPr>
      <t xml:space="preserve"> of Q4 revenue.</t>
    </r>
  </si>
  <si>
    <t>Backward Integration</t>
  </si>
  <si>
    <t>Investments in White Cement and VAM-VAE are expected to enhance long-term cost competitiveness and product differentiation.</t>
  </si>
  <si>
    <t>Premiumization efforts continue through advanced formulations, regional packaging and warranty-led branding.</t>
  </si>
  <si>
    <t>Value Segment Strategy</t>
  </si>
  <si>
    <t>The company strengthened its economy portfolio through Ace and Tractor campaigns to capture value-conscious consumers.</t>
  </si>
  <si>
    <t>Brand Building</t>
  </si>
  <si>
    <t>The 'Har Ghar Kuch Kehta Hai' campaign reinforces Asian Paints' leadership by emphasizing trust, durability and emotional brand connect.</t>
  </si>
  <si>
    <t>Home Décor Expansion</t>
  </si>
  <si>
    <t>Management continues investing in Home Décor despite near-term weakness, reflecting confidence in the long-term opportunity.</t>
  </si>
  <si>
    <t>Nilaya Luxury Strategy</t>
  </si>
  <si>
    <t>Nilaya Anthology positions Asian Paints in the luxury home décor segment, expanding beyond traditional paints.</t>
  </si>
  <si>
    <t>Industrial coatings continued outperforming decorative paints, providing stability to consolidated earnings.</t>
  </si>
  <si>
    <t>International growth remained mixed, with strong Middle East and Asia performance offset by African currency headwinds.</t>
  </si>
  <si>
    <t>Margin Management</t>
  </si>
  <si>
    <t>Gross margin improved through raw material deflation and operational efficiencies despite continued pricing pressure.</t>
  </si>
  <si>
    <t>Competitive Strategy</t>
  </si>
  <si>
    <t>Management remains focused on defending market leadership through brand, distribution, innovation and cost leadership rather than aggressive discounting.</t>
  </si>
  <si>
    <t>FY26 Outlook</t>
  </si>
  <si>
    <t>Management expects a gradual demand recovery supported by infrastructure spending, rural demand and a normal monsoon while remaining cautiously optimistic.</t>
  </si>
  <si>
    <t>Rank</t>
  </si>
  <si>
    <t>Initiative</t>
  </si>
  <si>
    <t>Major Competitors Without Comparable Offering</t>
  </si>
  <si>
    <t>Beautiful Homes Painting Services (600+ cities)</t>
  </si>
  <si>
    <t>Birla Opus, Berger Paints, Kansai Nerolac, Indigo Paints, Akzo Nobel India</t>
  </si>
  <si>
    <t>Nilaya Anthology (Luxury Design Destination)</t>
  </si>
  <si>
    <t>Chromacosm (5,300+ shade colour system)</t>
  </si>
  <si>
    <t>Birla Opus, Indigo Paints</t>
  </si>
  <si>
    <t>AI Colour Visualizer &amp; Digital Colour Consultancy (1,000+ consultation locations)</t>
  </si>
  <si>
    <t>Innovation Platform (300+ launches, 130+ patents, 14% revenue from innovation)</t>
  </si>
  <si>
    <t>Backward Integration (White Cement + VAM-VAE projects)</t>
  </si>
  <si>
    <t>Berger Paints, Indigo Paints, Akzo Nobel India</t>
  </si>
  <si>
    <t xml:space="preserve">Berger Paints, Birla Opus, Indigo Paints, Kansai Nerolac </t>
  </si>
  <si>
    <t xml:space="preserve">Indigo Paints, Birla Opus </t>
  </si>
  <si>
    <t>White Cement Plant</t>
  </si>
  <si>
    <t>1. Wall putty</t>
  </si>
  <si>
    <t>2. texture Finsihes</t>
  </si>
  <si>
    <t>3. Waterproofing</t>
  </si>
  <si>
    <t>4. Premium Decorative Products</t>
  </si>
  <si>
    <t>Operatinal in FY2026</t>
  </si>
  <si>
    <t>30 to 80 BPS in gross Margin</t>
  </si>
  <si>
    <t>VAM - VAE project</t>
  </si>
  <si>
    <t>1. Emulsion</t>
  </si>
  <si>
    <t>2. Adhesives</t>
  </si>
  <si>
    <t>3. Pain Binders</t>
  </si>
  <si>
    <t>80 to 150 BPS in GM</t>
  </si>
  <si>
    <t>operational in FY2027</t>
  </si>
  <si>
    <t>benefit in FY2027-28</t>
  </si>
  <si>
    <t>benefit in FY2028-29</t>
  </si>
  <si>
    <t>Product Category</t>
  </si>
  <si>
    <t>Interior Emulsions</t>
  </si>
  <si>
    <t>35–40%</t>
  </si>
  <si>
    <t>Exterior Emulsions</t>
  </si>
  <si>
    <t>18–22%</t>
  </si>
  <si>
    <t>10–11%</t>
  </si>
  <si>
    <t>Industrial Coatings</t>
  </si>
  <si>
    <t>9–10%</t>
  </si>
  <si>
    <t>Waterproofing</t>
  </si>
  <si>
    <t>8–10%</t>
  </si>
  <si>
    <t>Enamels &amp; Wood Finishes</t>
  </si>
  <si>
    <t>Construction Chemicals &amp; Putty</t>
  </si>
  <si>
    <t>6–8%</t>
  </si>
  <si>
    <t>3–4%</t>
  </si>
  <si>
    <t>Adhesives &amp; Sealants</t>
  </si>
  <si>
    <t>2–4%</t>
  </si>
  <si>
    <t>% of T revenue</t>
  </si>
  <si>
    <t>Capex will help</t>
  </si>
  <si>
    <t>Crude Oil</t>
  </si>
  <si>
    <r>
      <t xml:space="preserve">. Bulk of this slowdown was on account of </t>
    </r>
    <r>
      <rPr>
        <b/>
        <sz val="11"/>
        <color theme="1"/>
        <rFont val="Calibri"/>
        <family val="2"/>
        <scheme val="minor"/>
      </rPr>
      <t>weak urban consumption on the back of tepid wage growth and consistent inflation impacting their disposable incomes.</t>
    </r>
    <r>
      <rPr>
        <sz val="11"/>
        <color theme="1"/>
        <rFont val="Calibri"/>
        <family val="2"/>
        <scheme val="minor"/>
      </rPr>
      <t xml:space="preserve"> Rural consumption, on the other hand, exhibited pick-up with support from above-normal overall monsoon and higher agriculture output and prices. Like in other major economies, domestic headline inflation softened falling from 5.4% in the previous financial year to a six-year low of 4.6% in FY 2024-25. </t>
    </r>
    <r>
      <rPr>
        <b/>
        <sz val="11"/>
        <color theme="1"/>
        <rFont val="Calibri"/>
        <family val="2"/>
        <scheme val="minor"/>
      </rPr>
      <t>Tighter monetary policy, particularly restrictions on credit flows to non-productive sectors, also weighed on leveraged consumption</t>
    </r>
    <r>
      <rPr>
        <sz val="11"/>
        <color theme="1"/>
        <rFont val="Calibri"/>
        <family val="2"/>
        <scheme val="minor"/>
      </rPr>
      <t>. However, with inflation easing and fiscal support increasing, the consumption outlook is expected to improve in the near term.</t>
    </r>
  </si>
  <si>
    <t>Reason for ubran slow Consumption (FY2025)</t>
  </si>
  <si>
    <r>
      <t>Amidst this uncertain global backdrop of higher trade protectionism and trade conflicts, the focus will be on India’s domestic consumption driven growth story.</t>
    </r>
    <r>
      <rPr>
        <b/>
        <sz val="11"/>
        <color theme="1"/>
        <rFont val="Calibri"/>
        <family val="2"/>
        <scheme val="minor"/>
      </rPr>
      <t xml:space="preserve"> Rural consumption is expected to remain healthy with tailwinds from favourable monsoon, farm and non-farm wage growth and continued focus from Central and State governments on rural-focused welfare spends</t>
    </r>
    <r>
      <rPr>
        <sz val="11"/>
        <color theme="1"/>
        <rFont val="Calibri"/>
        <family val="2"/>
        <scheme val="minor"/>
      </rPr>
      <t>. S</t>
    </r>
    <r>
      <rPr>
        <b/>
        <sz val="11"/>
        <color theme="1"/>
        <rFont val="Calibri"/>
        <family val="2"/>
        <scheme val="minor"/>
      </rPr>
      <t>lowing trend in urban consumption is also expected to wane after almost two years and the budgetary support in terms of lower personal income taxes for the lower-income and middle-income households is expected to provide a boost to consumption. Tighter fiscal and loosening monetary policy is further expected to support fall in interest rates in the domestic economy and with rebound in public capex cycle by the Government, its trickle-down effect in terms of rural and urban wages will support consumption trends in the near term.</t>
    </r>
  </si>
  <si>
    <t>Perception of Management for Future growth of Customer Segment (FY2025)</t>
  </si>
  <si>
    <t>FY2026</t>
  </si>
  <si>
    <t>Forecast for FY2027</t>
  </si>
  <si>
    <t>1,70 lakhs</t>
  </si>
  <si>
    <t>Forecasted EBITDA margin for next Quarter</t>
  </si>
  <si>
    <t>As per CEO: single digit growth rate for both value and volume in near term</t>
  </si>
  <si>
    <t>we would anticipate that the gap between the volume and the value would remain in that zone of about 4-5%.</t>
  </si>
  <si>
    <t>Driver</t>
  </si>
  <si>
    <t>One-Liner</t>
  </si>
  <si>
    <t>Demand</t>
  </si>
  <si>
    <t>Sequential demand improved, with early signs of urban recovery despite monsoon disruptions.</t>
  </si>
  <si>
    <r>
      <t xml:space="preserve">Decorative volumes rebounded to </t>
    </r>
    <r>
      <rPr>
        <b/>
        <sz val="11"/>
        <color theme="1"/>
        <rFont val="Calibri"/>
        <family val="2"/>
        <scheme val="minor"/>
      </rPr>
      <t>3.9%</t>
    </r>
    <r>
      <rPr>
        <sz val="11"/>
        <color theme="1"/>
        <rFont val="Calibri"/>
        <family val="2"/>
        <scheme val="minor"/>
      </rPr>
      <t>, marking the strongest growth in the last four quarters.</t>
    </r>
  </si>
  <si>
    <r>
      <t xml:space="preserve">Value remained under pressure at </t>
    </r>
    <r>
      <rPr>
        <b/>
        <sz val="11"/>
        <color theme="1"/>
        <rFont val="Calibri"/>
        <family val="2"/>
        <scheme val="minor"/>
      </rPr>
      <t>-1.2%</t>
    </r>
    <r>
      <rPr>
        <sz val="11"/>
        <color theme="1"/>
        <rFont val="Calibri"/>
        <family val="2"/>
        <scheme val="minor"/>
      </rPr>
      <t xml:space="preserve"> due to pricing actions and an adverse product mix.</t>
    </r>
  </si>
  <si>
    <t>Economy emulsions outperformed while luxury emulsions witnessed downtrading.</t>
  </si>
  <si>
    <t>SmartCare continued to be one of the fastest-growing categories within the decorative portfolio.</t>
  </si>
  <si>
    <t>Distribution</t>
  </si>
  <si>
    <r>
      <t xml:space="preserve">Retail reach expanded to </t>
    </r>
    <r>
      <rPr>
        <b/>
        <sz val="11"/>
        <color theme="1"/>
        <rFont val="Calibri"/>
        <family val="2"/>
        <scheme val="minor"/>
      </rPr>
      <t>~1.7 lakh outlets</t>
    </r>
    <r>
      <rPr>
        <sz val="11"/>
        <color theme="1"/>
        <rFont val="Calibri"/>
        <family val="2"/>
        <scheme val="minor"/>
      </rPr>
      <t>, reinforcing Asian Paints' distribution leadership.</t>
    </r>
  </si>
  <si>
    <t>Beautiful Homes Painting Services remained a key differentiator with continued network expansion.</t>
  </si>
  <si>
    <r>
      <t xml:space="preserve">New products contributed </t>
    </r>
    <r>
      <rPr>
        <b/>
        <sz val="11"/>
        <color theme="1"/>
        <rFont val="Calibri"/>
        <family val="2"/>
        <scheme val="minor"/>
      </rPr>
      <t>14% of revenue</t>
    </r>
    <r>
      <rPr>
        <sz val="11"/>
        <color theme="1"/>
        <rFont val="Calibri"/>
        <family val="2"/>
        <scheme val="minor"/>
      </rPr>
      <t>, highlighting innovation as a core growth engine.</t>
    </r>
  </si>
  <si>
    <t>Premium Portfolio</t>
  </si>
  <si>
    <t>Nilaya Arc strengthened Asian Paints' presence in the super-luxury decorative paints segment.</t>
  </si>
  <si>
    <t>Regionalization</t>
  </si>
  <si>
    <t>Region-specific packs and shade guides deepened customer engagement through localized offerings.</t>
  </si>
  <si>
    <t>Technology</t>
  </si>
  <si>
    <t>Digital colour tools and technology-led campaigns enhanced consumer experience and brand engagement.</t>
  </si>
  <si>
    <t>Home Décor demand remained weak as discretionary spending stayed subdued.</t>
  </si>
  <si>
    <t>Beautiful Homes Stores</t>
  </si>
  <si>
    <r>
      <t xml:space="preserve">Store network expanded to </t>
    </r>
    <r>
      <rPr>
        <b/>
        <sz val="11"/>
        <color theme="1"/>
        <rFont val="Calibri"/>
        <family val="2"/>
        <scheme val="minor"/>
      </rPr>
      <t>72 locations</t>
    </r>
    <r>
      <rPr>
        <sz val="11"/>
        <color theme="1"/>
        <rFont val="Calibri"/>
        <family val="2"/>
        <scheme val="minor"/>
      </rPr>
      <t>, supporting the long-term home décor strategy.</t>
    </r>
  </si>
  <si>
    <t>Weatherseal</t>
  </si>
  <si>
    <t>Weatherseal delivered strong growth, supported by product innovation and network expansion.</t>
  </si>
  <si>
    <r>
      <t xml:space="preserve">International revenue grew </t>
    </r>
    <r>
      <rPr>
        <b/>
        <sz val="11"/>
        <color theme="1"/>
        <rFont val="Calibri"/>
        <family val="2"/>
        <scheme val="minor"/>
      </rPr>
      <t>8.4%</t>
    </r>
    <r>
      <rPr>
        <sz val="11"/>
        <color theme="1"/>
        <rFont val="Calibri"/>
        <family val="2"/>
        <scheme val="minor"/>
      </rPr>
      <t xml:space="preserve"> in INR terms and </t>
    </r>
    <r>
      <rPr>
        <b/>
        <sz val="11"/>
        <color theme="1"/>
        <rFont val="Calibri"/>
        <family val="2"/>
        <scheme val="minor"/>
      </rPr>
      <t>17.5%</t>
    </r>
    <r>
      <rPr>
        <sz val="11"/>
        <color theme="1"/>
        <rFont val="Calibri"/>
        <family val="2"/>
        <scheme val="minor"/>
      </rPr>
      <t xml:space="preserve"> in constant currency, led by South Asia and the Middle East.</t>
    </r>
  </si>
  <si>
    <t>Industrial coatings maintained strong momentum, driven by robust B2B and infrastructure demand.</t>
  </si>
  <si>
    <t>White Cement is nearing commissioning, while VAM-VAE remains on schedule to deliver future cost efficiencies.</t>
  </si>
  <si>
    <t>Margins</t>
  </si>
  <si>
    <r>
      <t xml:space="preserve">Gross margins remained resilient at </t>
    </r>
    <r>
      <rPr>
        <b/>
        <sz val="11"/>
        <color theme="1"/>
        <rFont val="Calibri"/>
        <family val="2"/>
        <scheme val="minor"/>
      </rPr>
      <t>43.2%</t>
    </r>
    <r>
      <rPr>
        <sz val="11"/>
        <color theme="1"/>
        <rFont val="Calibri"/>
        <family val="2"/>
        <scheme val="minor"/>
      </rPr>
      <t>, supported by sourcing efficiencies and lower raw material costs.</t>
    </r>
  </si>
  <si>
    <t>Competition</t>
  </si>
  <si>
    <t>Competitive intensity remains elevated, prompting greater focus on innovation, branding, and regional strategies.</t>
  </si>
  <si>
    <t>Management expects gradual demand recovery, supported by improving urban sentiment, a normal monsoon, and sustained industrial growth.</t>
  </si>
  <si>
    <t>Demand showed early signs of recovery, with Asian Paints significantly outperforming the industry's muted growth.</t>
  </si>
  <si>
    <r>
      <t xml:space="preserve">Decorative volumes surged </t>
    </r>
    <r>
      <rPr>
        <b/>
        <sz val="11"/>
        <color theme="1"/>
        <rFont val="Calibri"/>
        <family val="2"/>
        <scheme val="minor"/>
      </rPr>
      <t>10.9%</t>
    </r>
    <r>
      <rPr>
        <sz val="11"/>
        <color theme="1"/>
        <rFont val="Calibri"/>
        <family val="2"/>
        <scheme val="minor"/>
      </rPr>
      <t>, driven by broad-based growth across retail, B2B and premium segments.</t>
    </r>
  </si>
  <si>
    <r>
      <t xml:space="preserve">Decorative value grew </t>
    </r>
    <r>
      <rPr>
        <b/>
        <sz val="11"/>
        <color theme="1"/>
        <rFont val="Calibri"/>
        <family val="2"/>
        <scheme val="minor"/>
      </rPr>
      <t>6%</t>
    </r>
    <r>
      <rPr>
        <sz val="11"/>
        <color theme="1"/>
        <rFont val="Calibri"/>
        <family val="2"/>
        <scheme val="minor"/>
      </rPr>
      <t>, reflecting improved mix while maintaining competitiveness across price segments.</t>
    </r>
  </si>
  <si>
    <t>Aggressive brand investments strengthened consumer mindshare and reinforced market leadership.</t>
  </si>
  <si>
    <r>
      <t xml:space="preserve">Innovation remained a key growth engine, with new products contributing </t>
    </r>
    <r>
      <rPr>
        <b/>
        <sz val="11"/>
        <color theme="1"/>
        <rFont val="Calibri"/>
        <family val="2"/>
        <scheme val="minor"/>
      </rPr>
      <t>over 15% of revenue</t>
    </r>
    <r>
      <rPr>
        <sz val="11"/>
        <color theme="1"/>
        <rFont val="Calibri"/>
        <family val="2"/>
        <scheme val="minor"/>
      </rPr>
      <t>.</t>
    </r>
  </si>
  <si>
    <t>Premium and luxury emulsions gained momentum through focused marketing and differentiated product launches.</t>
  </si>
  <si>
    <t>Localized packs and micro-market execution enhanced customer connect and regional penetration.</t>
  </si>
  <si>
    <t>Affordable waterproofing innovations strengthened the value-for-money portfolio and category adoption.</t>
  </si>
  <si>
    <t>Wood Finishes</t>
  </si>
  <si>
    <t>Designer chrome and metallic finishes expanded Asian Paints' premium wood coatings portfolio.</t>
  </si>
  <si>
    <r>
      <t xml:space="preserve">Beautiful Homes Painting Services expanded to </t>
    </r>
    <r>
      <rPr>
        <b/>
        <sz val="11"/>
        <color theme="1"/>
        <rFont val="Calibri"/>
        <family val="2"/>
        <scheme val="minor"/>
      </rPr>
      <t>650+ towns</t>
    </r>
    <r>
      <rPr>
        <sz val="11"/>
        <color theme="1"/>
        <rFont val="Calibri"/>
        <family val="2"/>
        <scheme val="minor"/>
      </rPr>
      <t>, strengthening its service-led competitive moat.</t>
    </r>
  </si>
  <si>
    <t>B2B Business</t>
  </si>
  <si>
    <t>Expanded project sales across government, factories and hospitality diversified growth beyond traditional builders.</t>
  </si>
  <si>
    <t>Home Décor remained weak despite network expansion, with Weatherseal continuing to outperform other categories.</t>
  </si>
  <si>
    <r>
      <t xml:space="preserve">Beautiful Homes network expanded to </t>
    </r>
    <r>
      <rPr>
        <b/>
        <sz val="11"/>
        <color theme="1"/>
        <rFont val="Calibri"/>
        <family val="2"/>
        <scheme val="minor"/>
      </rPr>
      <t>73 stores</t>
    </r>
    <r>
      <rPr>
        <sz val="11"/>
        <color theme="1"/>
        <rFont val="Calibri"/>
        <family val="2"/>
        <scheme val="minor"/>
      </rPr>
      <t>, reinforcing the long-term integrated home décor strategy.</t>
    </r>
  </si>
  <si>
    <t>International business delivered double-digit growth, led by Asia and the Middle East with improving profitability.</t>
  </si>
  <si>
    <t>Industrial coatings sustained double-digit growth, supported by automotive, protective and industrial coatings demand.</t>
  </si>
  <si>
    <t>White Cement commissioning and VAM-VAE progress marked a major step toward cost leadership and differentiated products.</t>
  </si>
  <si>
    <r>
      <t xml:space="preserve">Gross margins expanded to </t>
    </r>
    <r>
      <rPr>
        <b/>
        <sz val="11"/>
        <color theme="1"/>
        <rFont val="Calibri"/>
        <family val="2"/>
        <scheme val="minor"/>
      </rPr>
      <t>43.7%</t>
    </r>
    <r>
      <rPr>
        <sz val="11"/>
        <color theme="1"/>
        <rFont val="Calibri"/>
        <family val="2"/>
        <scheme val="minor"/>
      </rPr>
      <t>, supported by raw material deflation and sourcing efficiencies.</t>
    </r>
  </si>
  <si>
    <t>Management focused on innovation, execution and brand investments rather than price-led competition.</t>
  </si>
  <si>
    <t>Management remains cautiously optimistic, expecting gradual demand recovery supported by rural demand, weddings and industrial momentum.</t>
  </si>
  <si>
    <t>Pricing Approach</t>
  </si>
  <si>
    <t>Q3 FY26 One-Liner</t>
  </si>
  <si>
    <t>Demand remained resilient despite a compressed festive season and prolonged monsoon, with rural markets outperforming urban markets.</t>
  </si>
  <si>
    <r>
      <t xml:space="preserve">Decorative volumes grew </t>
    </r>
    <r>
      <rPr>
        <b/>
        <sz val="11"/>
        <color theme="1"/>
        <rFont val="Calibri"/>
        <family val="2"/>
        <scheme val="minor"/>
      </rPr>
      <t>7.9%</t>
    </r>
    <r>
      <rPr>
        <sz val="11"/>
        <color theme="1"/>
        <rFont val="Calibri"/>
        <family val="2"/>
        <scheme val="minor"/>
      </rPr>
      <t>, maintaining a strong growth trajectory for the third consecutive quarter.</t>
    </r>
  </si>
  <si>
    <r>
      <t xml:space="preserve">Decorative value growth improved to </t>
    </r>
    <r>
      <rPr>
        <b/>
        <sz val="11"/>
        <color theme="1"/>
        <rFont val="Calibri"/>
        <family val="2"/>
        <scheme val="minor"/>
      </rPr>
      <t>2.8%</t>
    </r>
    <r>
      <rPr>
        <sz val="11"/>
        <color theme="1"/>
        <rFont val="Calibri"/>
        <family val="2"/>
        <scheme val="minor"/>
      </rPr>
      <t>, supported by a richer premium product mix despite pricing headwinds.</t>
    </r>
  </si>
  <si>
    <r>
      <t xml:space="preserve">High-impact partnerships with </t>
    </r>
    <r>
      <rPr>
        <b/>
        <sz val="11"/>
        <color theme="1"/>
        <rFont val="Calibri"/>
        <family val="2"/>
        <scheme val="minor"/>
      </rPr>
      <t>BCCI, KBC, Spotify and Bigg Boss</t>
    </r>
    <r>
      <rPr>
        <sz val="11"/>
        <color theme="1"/>
        <rFont val="Calibri"/>
        <family val="2"/>
        <scheme val="minor"/>
      </rPr>
      <t xml:space="preserve"> strengthened brand visibility across consumer segments.</t>
    </r>
  </si>
  <si>
    <r>
      <t xml:space="preserve">Innovation remained a key differentiator, with new products contributing </t>
    </r>
    <r>
      <rPr>
        <b/>
        <sz val="11"/>
        <color theme="1"/>
        <rFont val="Calibri"/>
        <family val="2"/>
        <scheme val="minor"/>
      </rPr>
      <t>16% of total revenue</t>
    </r>
    <r>
      <rPr>
        <sz val="11"/>
        <color theme="1"/>
        <rFont val="Calibri"/>
        <family val="2"/>
        <scheme val="minor"/>
      </rPr>
      <t>.</t>
    </r>
  </si>
  <si>
    <t>Continued premiumization enhanced realizations and supported profitability across decorative paints.</t>
  </si>
  <si>
    <t>Region-specific products and localized campaigns deepened customer engagement and strengthened market penetration.</t>
  </si>
  <si>
    <t>Waterproofing continued to gain momentum, reinforcing Asian Paints' leadership in the category.</t>
  </si>
  <si>
    <r>
      <t xml:space="preserve">New premium wood coating launches, including </t>
    </r>
    <r>
      <rPr>
        <b/>
        <sz val="11"/>
        <color theme="1"/>
        <rFont val="Calibri"/>
        <family val="2"/>
        <scheme val="minor"/>
      </rPr>
      <t>PU Gold</t>
    </r>
    <r>
      <rPr>
        <sz val="11"/>
        <color theme="1"/>
        <rFont val="Calibri"/>
        <family val="2"/>
        <scheme val="minor"/>
      </rPr>
      <t xml:space="preserve"> with anti-termite technology, expanded the innovation-led portfolio.</t>
    </r>
  </si>
  <si>
    <t>AI-enabled Beautiful Homes Painting Service further enhanced customer experience and service differentiation.</t>
  </si>
  <si>
    <t>Strong growth in factories and government projects continued to drive the B2B business ahead of retail.</t>
  </si>
  <si>
    <t>Home Décor remained a long-term strategic focus, with gradual progress led by Weatherseal and White Teak despite weakness in Bath.</t>
  </si>
  <si>
    <r>
      <t xml:space="preserve">The Beautiful Homes network expanded to </t>
    </r>
    <r>
      <rPr>
        <b/>
        <sz val="11"/>
        <color theme="1"/>
        <rFont val="Calibri"/>
        <family val="2"/>
        <scheme val="minor"/>
      </rPr>
      <t>74 stores</t>
    </r>
    <r>
      <rPr>
        <sz val="11"/>
        <color theme="1"/>
        <rFont val="Calibri"/>
        <family val="2"/>
        <scheme val="minor"/>
      </rPr>
      <t>, strengthening the integrated home décor ecosystem.</t>
    </r>
  </si>
  <si>
    <t>International operations delivered steady growth with improving profitability, led by Sri Lanka, UAE and Ethiopia.</t>
  </si>
  <si>
    <t>Industrial coatings sustained strong double-digit growth, driven by automotive, protective and general industrial coatings.</t>
  </si>
  <si>
    <t>Backward integration remained on track, with White Cement operational and further integration initiatives progressing as planned.</t>
  </si>
  <si>
    <r>
      <t xml:space="preserve">Gross margins expanded to </t>
    </r>
    <r>
      <rPr>
        <b/>
        <sz val="11"/>
        <color theme="1"/>
        <rFont val="Calibri"/>
        <family val="2"/>
        <scheme val="minor"/>
      </rPr>
      <t>44.3% (consolidated)</t>
    </r>
    <r>
      <rPr>
        <sz val="11"/>
        <color theme="1"/>
        <rFont val="Calibri"/>
        <family val="2"/>
        <scheme val="minor"/>
      </rPr>
      <t>, supported by raw material deflation and sourcing efficiencies.</t>
    </r>
  </si>
  <si>
    <t>Management remained focused on execution, innovation and brand investments amid intensifying competitive activity.</t>
  </si>
  <si>
    <t>Management expects growth momentum to continue, supported by industrial, B2B and international businesses while remaining watchful of demand and competitive intensity.</t>
  </si>
  <si>
    <t>The VAM-VAE project will bring to us very strong innovation capabilities in the market and really change the fabric of the market from the area of looking at green paints in a strong manner. That's something which we feel is a very strong catalyst for us going forward</t>
  </si>
  <si>
    <t>Innovation % of revenue</t>
  </si>
  <si>
    <t>Q4 FY26 One-Liner</t>
  </si>
  <si>
    <t>Demand strengthened across all three months, with broad-based growth in both rural and urban markets.</t>
  </si>
  <si>
    <r>
      <t xml:space="preserve">Decorative volumes surged </t>
    </r>
    <r>
      <rPr>
        <b/>
        <sz val="11"/>
        <color theme="1"/>
        <rFont val="Calibri"/>
        <family val="2"/>
        <scheme val="minor"/>
      </rPr>
      <t>12.4%</t>
    </r>
    <r>
      <rPr>
        <sz val="11"/>
        <color theme="1"/>
        <rFont val="Calibri"/>
        <family val="2"/>
        <scheme val="minor"/>
      </rPr>
      <t>, marking the strongest quarterly growth of FY26.</t>
    </r>
  </si>
  <si>
    <r>
      <t xml:space="preserve">Decorative value growth accelerated to </t>
    </r>
    <r>
      <rPr>
        <b/>
        <sz val="11"/>
        <color theme="1"/>
        <rFont val="Calibri"/>
        <family val="2"/>
        <scheme val="minor"/>
      </rPr>
      <t>10.2%</t>
    </r>
    <r>
      <rPr>
        <sz val="11"/>
        <color theme="1"/>
        <rFont val="Calibri"/>
        <family val="2"/>
        <scheme val="minor"/>
      </rPr>
      <t>, supported by premiumization and an improved product mix.</t>
    </r>
  </si>
  <si>
    <t>Strategic investments in cricket partnerships, digital campaigns and category leadership strengthened brand equity.</t>
  </si>
  <si>
    <r>
      <t xml:space="preserve">Innovation remained a key growth driver, with new products contributing </t>
    </r>
    <r>
      <rPr>
        <b/>
        <sz val="11"/>
        <color theme="1"/>
        <rFont val="Calibri"/>
        <family val="2"/>
        <scheme val="minor"/>
      </rPr>
      <t>17% of total revenue</t>
    </r>
    <r>
      <rPr>
        <sz val="11"/>
        <color theme="1"/>
        <rFont val="Calibri"/>
        <family val="2"/>
        <scheme val="minor"/>
      </rPr>
      <t>.</t>
    </r>
  </si>
  <si>
    <t>Premium and PreLux categories continued to outperform, improving realizations and narrowing the volume-value gap.</t>
  </si>
  <si>
    <t>Region-specific products and localized consumer engagement continued to deepen market penetration.</t>
  </si>
  <si>
    <t>Waterproofing leadership strengthened through the successful expansion of the Damp Proof franchise.</t>
  </si>
  <si>
    <r>
      <t xml:space="preserve">Premium wood finishes expanded with innovation-led products such as </t>
    </r>
    <r>
      <rPr>
        <b/>
        <sz val="11"/>
        <color theme="1"/>
        <rFont val="Calibri"/>
        <family val="2"/>
        <scheme val="minor"/>
      </rPr>
      <t>PU Gold</t>
    </r>
    <r>
      <rPr>
        <sz val="11"/>
        <color theme="1"/>
        <rFont val="Calibri"/>
        <family val="2"/>
        <scheme val="minor"/>
      </rPr>
      <t>, reinforcing the premium portfolio.</t>
    </r>
  </si>
  <si>
    <t>AI-enabled Beautiful Homes Painting Services continued to enhance customer experience and service differentiation.</t>
  </si>
  <si>
    <t>B2B remained a key growth engine, driven by strong demand from infrastructure, factories, hospitality and government projects.</t>
  </si>
  <si>
    <t>Home Décor showed gradual improvement, led by Kitchen, Weatherseal and White Teak while remaining a long-term strategic focus.</t>
  </si>
  <si>
    <r>
      <t xml:space="preserve">The Beautiful Homes network expanded to </t>
    </r>
    <r>
      <rPr>
        <b/>
        <sz val="11"/>
        <color theme="1"/>
        <rFont val="Calibri"/>
        <family val="2"/>
        <scheme val="minor"/>
      </rPr>
      <t>74 stores</t>
    </r>
    <r>
      <rPr>
        <sz val="11"/>
        <color theme="1"/>
        <rFont val="Calibri"/>
        <family val="2"/>
        <scheme val="minor"/>
      </rPr>
      <t>, strengthening Asian Paints' integrated home décor ecosystem.</t>
    </r>
  </si>
  <si>
    <t>International business delivered strong double-digit growth with improving profitability across Asia, the Middle East and Africa.</t>
  </si>
  <si>
    <t>Industrial coatings sustained robust double-digit growth, supported by automotive, general industrial and protective coatings demand.</t>
  </si>
  <si>
    <t>VAM-VAE moved closer to commissioning, positioning Asian Paints for long-term cost leadership and product innovation.</t>
  </si>
  <si>
    <r>
      <t xml:space="preserve">Gross margins expanded to a record </t>
    </r>
    <r>
      <rPr>
        <b/>
        <sz val="11"/>
        <color theme="1"/>
        <rFont val="Calibri"/>
        <family val="2"/>
        <scheme val="minor"/>
      </rPr>
      <t>45.6%</t>
    </r>
    <r>
      <rPr>
        <sz val="11"/>
        <color theme="1"/>
        <rFont val="Calibri"/>
        <family val="2"/>
        <scheme val="minor"/>
      </rPr>
      <t>, driven by raw material deflation, premiumization and operational efficiencies.</t>
    </r>
  </si>
  <si>
    <t>Management expects competitive intensity to remain elevated while focusing on innovation, premiumization and execution to drive market share gains.</t>
  </si>
  <si>
    <t>Management remains optimistic about sustaining high single-digit volume growth while balancing inflation through calibrated pricing and cost efficiencies.</t>
  </si>
  <si>
    <t>FY2026 One-Liner</t>
  </si>
  <si>
    <t>FY26 marked a gradual demand recovery, supported by improving rural demand and a steady pickup in urban markets.</t>
  </si>
  <si>
    <r>
      <t xml:space="preserve">Decorative volumes grew </t>
    </r>
    <r>
      <rPr>
        <b/>
        <sz val="11"/>
        <color theme="1"/>
        <rFont val="Calibri"/>
        <family val="2"/>
        <scheme val="minor"/>
      </rPr>
      <t>~9%</t>
    </r>
    <r>
      <rPr>
        <sz val="11"/>
        <color theme="1"/>
        <rFont val="Calibri"/>
        <family val="2"/>
        <scheme val="minor"/>
      </rPr>
      <t>, significantly outpacing industry growth and reflecting market share gains.</t>
    </r>
  </si>
  <si>
    <r>
      <t xml:space="preserve">Decorative value grew </t>
    </r>
    <r>
      <rPr>
        <b/>
        <sz val="11"/>
        <color theme="1"/>
        <rFont val="Calibri"/>
        <family val="2"/>
        <scheme val="minor"/>
      </rPr>
      <t>4.3%</t>
    </r>
    <r>
      <rPr>
        <sz val="11"/>
        <color theme="1"/>
        <rFont val="Calibri"/>
        <family val="2"/>
        <scheme val="minor"/>
      </rPr>
      <t>, as improving premiumization partially offset pricing pressures during the year.</t>
    </r>
  </si>
  <si>
    <t>Sustained investments in brand campaigns, cricket partnerships and digital engagement reinforced Asian Paints' market leadership.</t>
  </si>
  <si>
    <r>
      <t xml:space="preserve">Innovation remained a key growth pillar, with new products contributing </t>
    </r>
    <r>
      <rPr>
        <b/>
        <sz val="11"/>
        <color theme="1"/>
        <rFont val="Calibri"/>
        <family val="2"/>
        <scheme val="minor"/>
      </rPr>
      <t>17% of revenue</t>
    </r>
    <r>
      <rPr>
        <sz val="11"/>
        <color theme="1"/>
        <rFont val="Calibri"/>
        <family val="2"/>
        <scheme val="minor"/>
      </rPr>
      <t xml:space="preserve"> by year-end.</t>
    </r>
  </si>
  <si>
    <t>Premiumization accelerated across decorative paints, waterproofing and wood finishes, improving product mix and realizations.</t>
  </si>
  <si>
    <t>Region-specific products and localized marketing strengthened customer engagement across diverse Indian markets.</t>
  </si>
  <si>
    <t>Waterproofing strengthened its leadership position, driven by the expanding Damp Proof franchise and innovation-led offerings.</t>
  </si>
  <si>
    <t>Premium wood finishes expanded through technology-led innovations, reinforcing Asian Paints' premium positioning.</t>
  </si>
  <si>
    <t>Beautiful Homes Painting Service expanded its reach and strengthened Asian Paints' service-led competitive advantage.</t>
  </si>
  <si>
    <t>B2B emerged as a major growth engine, supported by strong demand from infrastructure, factories, hospitality and government projects.</t>
  </si>
  <si>
    <r>
      <t xml:space="preserve">Home Décor continued to evolve into an integrated ecosystem, supported by </t>
    </r>
    <r>
      <rPr>
        <b/>
        <sz val="11"/>
        <color theme="1"/>
        <rFont val="Calibri"/>
        <family val="2"/>
        <scheme val="minor"/>
      </rPr>
      <t>74 Beautiful Homes Stores</t>
    </r>
    <r>
      <rPr>
        <sz val="11"/>
        <color theme="1"/>
        <rFont val="Calibri"/>
        <family val="2"/>
        <scheme val="minor"/>
      </rPr>
      <t xml:space="preserve"> despite mixed category performance.</t>
    </r>
  </si>
  <si>
    <r>
      <t xml:space="preserve">The Beautiful Homes network expanded to </t>
    </r>
    <r>
      <rPr>
        <b/>
        <sz val="11"/>
        <color theme="1"/>
        <rFont val="Calibri"/>
        <family val="2"/>
        <scheme val="minor"/>
      </rPr>
      <t>74 stores</t>
    </r>
    <r>
      <rPr>
        <sz val="11"/>
        <color theme="1"/>
        <rFont val="Calibri"/>
        <family val="2"/>
        <scheme val="minor"/>
      </rPr>
      <t>, reinforcing Asian Paints' integrated home décor strategy.</t>
    </r>
  </si>
  <si>
    <r>
      <t xml:space="preserve">International operations delivered </t>
    </r>
    <r>
      <rPr>
        <b/>
        <sz val="11"/>
        <color theme="1"/>
        <rFont val="Calibri"/>
        <family val="2"/>
        <scheme val="minor"/>
      </rPr>
      <t>9% annual growth</t>
    </r>
    <r>
      <rPr>
        <sz val="11"/>
        <color theme="1"/>
        <rFont val="Calibri"/>
        <family val="2"/>
        <scheme val="minor"/>
      </rPr>
      <t>, led by Asia, the Middle East and Africa, with improved profitability.</t>
    </r>
  </si>
  <si>
    <t>Industrial coatings sustained strong double-digit growth, supported by automotive, protective and general industrial coatings demand.</t>
  </si>
  <si>
    <t>FY26 marked a strategic milestone with White Cement operational and VAM-VAE nearing commissioning, strengthening long-term cost competitiveness and innovation.</t>
  </si>
  <si>
    <r>
      <t xml:space="preserve">Strong cost management and raw material deflation drove record profitability, with gross margins reaching </t>
    </r>
    <r>
      <rPr>
        <b/>
        <sz val="11"/>
        <color theme="1"/>
        <rFont val="Calibri"/>
        <family val="2"/>
        <scheme val="minor"/>
      </rPr>
      <t>45.6%</t>
    </r>
    <r>
      <rPr>
        <sz val="11"/>
        <color theme="1"/>
        <rFont val="Calibri"/>
        <family val="2"/>
        <scheme val="minor"/>
      </rPr>
      <t xml:space="preserve"> in Q4 and higher margins for the full year.</t>
    </r>
  </si>
  <si>
    <t>Despite intensified competition and persistent discounting, Asian Paints strengthened its leadership through innovation, premiumization, services and execution.</t>
  </si>
  <si>
    <t>Management expects to sustain high single-digit volume growth in FY27 through calibrated pricing, cost efficiencies, industrial momentum and backward integration benefits.</t>
  </si>
  <si>
    <t>Metric</t>
  </si>
  <si>
    <t>Q1 FY25</t>
  </si>
  <si>
    <t>Q2 FY25</t>
  </si>
  <si>
    <t>Q3 FY25</t>
  </si>
  <si>
    <t>Q4 FY25</t>
  </si>
  <si>
    <t>Q1 FY26</t>
  </si>
  <si>
    <t>Q2 FY26</t>
  </si>
  <si>
    <t>Q3 FY26</t>
  </si>
  <si>
    <t>Q4 FY26</t>
  </si>
  <si>
    <t>Stable</t>
  </si>
  <si>
    <t>Economy</t>
  </si>
  <si>
    <t>Economy + Premium</t>
  </si>
  <si>
    <t>Economy + PreLux</t>
  </si>
  <si>
    <t>Price Cut</t>
  </si>
  <si>
    <t>Price Hike</t>
  </si>
  <si>
    <t>~9%</t>
  </si>
  <si>
    <t>Indian GDP growth forecast</t>
  </si>
  <si>
    <t>Growth rate from 2027 to 2030</t>
  </si>
  <si>
    <t>6.5% to 6.7%</t>
  </si>
  <si>
    <t>Number of Households</t>
  </si>
  <si>
    <t>Source: EY</t>
  </si>
  <si>
    <t>Source: World Economic Forum</t>
  </si>
  <si>
    <t>Industrial growth</t>
  </si>
  <si>
    <r>
      <t xml:space="preserve">India's industrial and manufacturing sector is </t>
    </r>
    <r>
      <rPr>
        <sz val="11"/>
        <color theme="1"/>
        <rFont val="Calibri"/>
        <family val="2"/>
        <scheme val="minor"/>
      </rPr>
      <t>forecast to grow at a compound annual growth rate (CAGR) of around 4.8% to reach an industrial market size of over USD 520 billion by 2030.</t>
    </r>
  </si>
  <si>
    <t>Source: yahoo Finance</t>
  </si>
  <si>
    <t>~5%</t>
  </si>
  <si>
    <t>Inflation/ Deflation</t>
  </si>
  <si>
    <t>Deflation</t>
  </si>
  <si>
    <t>Inflation Forecast</t>
  </si>
  <si>
    <t xml:space="preserve">Source: The Global Economy </t>
  </si>
  <si>
    <t>Section 11: EBIT</t>
  </si>
  <si>
    <t>Based on days</t>
  </si>
  <si>
    <t>Add: Depreciation and Amortization</t>
  </si>
  <si>
    <t>Less: Capital Expenditure</t>
  </si>
  <si>
    <t>Less: Change in Operating Working Capital</t>
  </si>
  <si>
    <t>Free cash Flow to Firm (FCFF)</t>
  </si>
  <si>
    <t>Closing Gross PPE</t>
  </si>
  <si>
    <t>Other operating Expense</t>
  </si>
  <si>
    <t>EBITDA Amount</t>
  </si>
  <si>
    <t xml:space="preserve">Decorative </t>
  </si>
  <si>
    <t>Kitchen</t>
  </si>
  <si>
    <t>Bath</t>
  </si>
  <si>
    <t>Growth</t>
  </si>
  <si>
    <t>Categories (Sales)</t>
  </si>
  <si>
    <t>International Sales</t>
  </si>
  <si>
    <t>growth</t>
  </si>
  <si>
    <t>Industrial</t>
  </si>
  <si>
    <t>PPGAP</t>
  </si>
  <si>
    <t>APPPG</t>
  </si>
  <si>
    <t>White teak</t>
  </si>
  <si>
    <t>Automotive growth</t>
  </si>
  <si>
    <t>CAGR</t>
  </si>
  <si>
    <t>Source: grand view research</t>
  </si>
  <si>
    <t>Shares Outstanding</t>
  </si>
  <si>
    <t>Equity Value</t>
  </si>
  <si>
    <t>Net Debt</t>
  </si>
  <si>
    <t>Enterprise Value</t>
  </si>
  <si>
    <t>Market Data</t>
  </si>
  <si>
    <t>Revenue</t>
  </si>
  <si>
    <t>Net Income</t>
  </si>
  <si>
    <t>Valuation</t>
  </si>
  <si>
    <t>Ticker</t>
  </si>
  <si>
    <t xml:space="preserve">Company </t>
  </si>
  <si>
    <t>Asian Paints</t>
  </si>
  <si>
    <t>Kansai Nerolac</t>
  </si>
  <si>
    <t>Shalimar Paints</t>
  </si>
  <si>
    <t>Sr.No</t>
  </si>
  <si>
    <t>Name</t>
  </si>
  <si>
    <t>CMP Rs.</t>
  </si>
  <si>
    <t>No. Eq. shares Cr</t>
  </si>
  <si>
    <t>Market Cap</t>
  </si>
  <si>
    <t>Debt Rs. Cr</t>
  </si>
  <si>
    <t>Cash End rs. Cr.</t>
  </si>
  <si>
    <t>EV</t>
  </si>
  <si>
    <t>Sales Rs. Cr</t>
  </si>
  <si>
    <t>NP 12M Rs. Cr.</t>
  </si>
  <si>
    <t>EV/Revenue</t>
  </si>
  <si>
    <t>EV/EBITDA</t>
  </si>
  <si>
    <t>P/E</t>
  </si>
  <si>
    <t>High</t>
  </si>
  <si>
    <t>75th Percentile</t>
  </si>
  <si>
    <t>25th Percentile</t>
  </si>
  <si>
    <t>Low</t>
  </si>
  <si>
    <t>Asian Paints Comparable Valuation</t>
  </si>
  <si>
    <t>Implied Enterprise Value</t>
  </si>
  <si>
    <t>Implied Market Value</t>
  </si>
  <si>
    <t>Share Outstanding</t>
  </si>
  <si>
    <t>Implied Value Per Share</t>
  </si>
  <si>
    <t>Source: Screener.in</t>
  </si>
  <si>
    <t xml:space="preserve">Comparable Companies Valuation </t>
  </si>
  <si>
    <t>Amount in crores</t>
  </si>
  <si>
    <t>Value of Operating Asset</t>
  </si>
  <si>
    <t>Sensitivity Analysis</t>
  </si>
  <si>
    <t>TERMINAL GROWTH %</t>
  </si>
  <si>
    <t>Football Field Analysis</t>
  </si>
  <si>
    <t>Comps</t>
  </si>
  <si>
    <t>DCF Bear</t>
  </si>
  <si>
    <t>DCF Base</t>
  </si>
  <si>
    <t>DCF Bull</t>
  </si>
  <si>
    <t>52W H/L</t>
  </si>
  <si>
    <t>OpenLow</t>
  </si>
  <si>
    <t>OpenHigh</t>
  </si>
  <si>
    <t>Company</t>
  </si>
  <si>
    <t>Estimated Market Share (%)</t>
  </si>
  <si>
    <t>18–20%</t>
  </si>
  <si>
    <t>12–15%</t>
  </si>
  <si>
    <t>Birla Opus</t>
  </si>
  <si>
    <t>7–10%</t>
  </si>
  <si>
    <t>Akzo Nobel (Dulux)</t>
  </si>
  <si>
    <t>3–5%</t>
  </si>
  <si>
    <t>2–3%</t>
  </si>
  <si>
    <t>JSW Paints</t>
  </si>
  <si>
    <t>Others (Shalimar, Nippon, regional players, etc.)</t>
  </si>
  <si>
    <t>5–8%</t>
  </si>
  <si>
    <t>Raw Material</t>
  </si>
  <si>
    <t>Approx. Share</t>
  </si>
  <si>
    <t>Titanium Dioxide (TiO₂)</t>
  </si>
  <si>
    <t>Resins &amp; Emulsions</t>
  </si>
  <si>
    <t>Solvents</t>
  </si>
  <si>
    <t>Pigments &amp; Extenders</t>
  </si>
  <si>
    <t>Additives &amp; Specialty Chemicals</t>
  </si>
  <si>
    <t xml:space="preserve">20–25% </t>
  </si>
  <si>
    <t>20–30%</t>
  </si>
  <si>
    <t xml:space="preserve">10–15% </t>
  </si>
  <si>
    <t xml:space="preserve">15–20% </t>
  </si>
  <si>
    <t xml:space="preserve">5–10% </t>
  </si>
  <si>
    <t>Total Raw material cost breakdown</t>
  </si>
  <si>
    <t>Share of new product launches in FY2026</t>
  </si>
  <si>
    <t>Premium/ Luxury</t>
  </si>
  <si>
    <t>~60%</t>
  </si>
  <si>
    <t>~40%</t>
  </si>
  <si>
    <t>Overall the industry focus is towards increasing the growth rate of Premium product</t>
  </si>
  <si>
    <t>Asian paints</t>
  </si>
  <si>
    <t>Knight Frank's Wealth Report 2026</t>
  </si>
  <si>
    <t>Billionaires will increase by 51% over next 5 years</t>
  </si>
  <si>
    <t>from 207 to 313 Cr</t>
  </si>
  <si>
    <t>Forecast</t>
  </si>
  <si>
    <t>HNWIs (US$10M+ net worth)</t>
  </si>
  <si>
    <t>85,698 (2024)</t>
  </si>
  <si>
    <t>93,753 (2028)</t>
  </si>
  <si>
    <r>
      <t>+9.4%</t>
    </r>
    <r>
      <rPr>
        <sz val="11"/>
        <color theme="1"/>
        <rFont val="Calibri"/>
        <family val="2"/>
        <scheme val="minor"/>
      </rPr>
      <t xml:space="preserve"> (4 years</t>
    </r>
  </si>
  <si>
    <t>AS per DD</t>
  </si>
  <si>
    <t>Overall Indian Automobile Industry</t>
  </si>
  <si>
    <t>~7–8% CAGR (2026–2031)</t>
  </si>
  <si>
    <t>Affluent + Elite Combined</t>
  </si>
  <si>
    <t>16 million</t>
  </si>
  <si>
    <t>79 million</t>
  </si>
  <si>
    <t>≈15.6% CAGR</t>
  </si>
  <si>
    <t>As per BCG</t>
  </si>
  <si>
    <t>Technology / Feature</t>
  </si>
  <si>
    <t>Simple Explanation</t>
  </si>
  <si>
    <t>Advanced Acrylic Resin</t>
  </si>
  <si>
    <t>Stronger binder that makes paint stick better to walls and last longer.</t>
  </si>
  <si>
    <t>Superior Washability</t>
  </si>
  <si>
    <t>Walls can be cleaned multiple times without damaging the paint.</t>
  </si>
  <si>
    <t>Stain Resistance Technology</t>
  </si>
  <si>
    <t>Prevents stains like coffee, oil and crayons from penetrating the wall, making them easy to wipe off.</t>
  </si>
  <si>
    <t>Scrub Resistance</t>
  </si>
  <si>
    <t>Paint withstands repeated cleaning without losing colour or finish.</t>
  </si>
  <si>
    <t>Rich Pigment Technology</t>
  </si>
  <si>
    <t>Provides brighter, richer colours that remain vibrant for longer.</t>
  </si>
  <si>
    <t>Colour Retention Technology</t>
  </si>
  <si>
    <t>Reduces fading caused by sunlight and ageing.</t>
  </si>
  <si>
    <t>Teflon™ Surface Protection</t>
  </si>
  <si>
    <t>Creates a non-stick surface that makes stains and dirt easier to remove.</t>
  </si>
  <si>
    <t>Water Beading Technology</t>
  </si>
  <si>
    <t>Water forms droplets and rolls off instead of soaking into the wall, reducing dampness and peeling.</t>
  </si>
  <si>
    <t>Crack Bridging Technology</t>
  </si>
  <si>
    <t>Covers and hides small hairline cracks that develop over time.</t>
  </si>
  <si>
    <t>Anti-Fungal Technology</t>
  </si>
  <si>
    <t>Prevents fungus and mould growth, especially in humid areas.</t>
  </si>
  <si>
    <t>Anti-Bacterial Technology</t>
  </si>
  <si>
    <t>Inhibits bacterial growth on painted surfaces, improving hygiene.</t>
  </si>
  <si>
    <t>Low VOC Technology</t>
  </si>
  <si>
    <t>Releases fewer harmful chemicals, resulting in healthier indoor air quality.</t>
  </si>
  <si>
    <t>Green Assure Certification</t>
  </si>
  <si>
    <t>Certified low-emission paint that is safer for homes, children and hospitals.</t>
  </si>
  <si>
    <t>Low Odour Technology</t>
  </si>
  <si>
    <t>Produces very little smell during and after painting.</t>
  </si>
  <si>
    <t>Moisture Resistance</t>
  </si>
  <si>
    <t>Protects walls from humidity, reducing blistering and peeling.</t>
  </si>
  <si>
    <t>Designer Finish Technology</t>
  </si>
  <si>
    <t>Creates premium textures such as marble, metallic, silk and other decorative finishes.</t>
  </si>
  <si>
    <r>
      <t>Twin Power Technology</t>
    </r>
    <r>
      <rPr>
        <sz val="11"/>
        <color theme="1"/>
        <rFont val="Calibri"/>
        <family val="2"/>
        <scheme val="minor"/>
      </rPr>
      <t xml:space="preserve"> </t>
    </r>
    <r>
      <rPr>
        <i/>
        <sz val="11"/>
        <color theme="1"/>
        <rFont val="Calibri"/>
        <family val="2"/>
        <scheme val="minor"/>
      </rPr>
      <t>(Tractor)</t>
    </r>
  </si>
  <si>
    <t>Provides better coverage and basic washability while keeping the paint affordable.</t>
  </si>
  <si>
    <r>
      <t>Silicon Boost Technology</t>
    </r>
    <r>
      <rPr>
        <sz val="11"/>
        <color theme="1"/>
        <rFont val="Calibri"/>
        <family val="2"/>
        <scheme val="minor"/>
      </rPr>
      <t xml:space="preserve"> </t>
    </r>
    <r>
      <rPr>
        <i/>
        <sz val="11"/>
        <color theme="1"/>
        <rFont val="Calibri"/>
        <family val="2"/>
        <scheme val="minor"/>
      </rPr>
      <t>(Tractor Aqualock)</t>
    </r>
  </si>
  <si>
    <t>Improves water resistance and protects exterior walls from rain and moisture.</t>
  </si>
  <si>
    <r>
      <t>Flame Retardant Technology</t>
    </r>
    <r>
      <rPr>
        <sz val="11"/>
        <color theme="1"/>
        <rFont val="Calibri"/>
        <family val="2"/>
        <scheme val="minor"/>
      </rPr>
      <t xml:space="preserve"> </t>
    </r>
    <r>
      <rPr>
        <i/>
        <sz val="11"/>
        <color theme="1"/>
        <rFont val="Calibri"/>
        <family val="2"/>
        <scheme val="minor"/>
      </rPr>
      <t>(All Protek)</t>
    </r>
  </si>
  <si>
    <t>Slows the spread of fire, enhancing safety in homes and commercial buildings.</t>
  </si>
  <si>
    <t>WHY PREMIUM/LUXURY IS BETTER THAN ECONOMY</t>
  </si>
  <si>
    <t>Beautiful Homes Stores (74 stores, 53 cities)</t>
  </si>
  <si>
    <t>Competitive Position</t>
  </si>
  <si>
    <t>Similar offering but much smaller</t>
  </si>
  <si>
    <t>Early stage / Limited</t>
  </si>
  <si>
    <t>Asian Paints is the clear market leader by scale and integration</t>
  </si>
  <si>
    <t>Beautiful Homes Stores (74 stores across 53 cities)</t>
  </si>
  <si>
    <t>No comparable offering</t>
  </si>
  <si>
    <t>Unique competitive moat</t>
  </si>
  <si>
    <t>Similar colour system, but smaller</t>
  </si>
  <si>
    <t>Industry-leading scale and colour database</t>
  </si>
  <si>
    <t>Similar tool but smaller ecosystem</t>
  </si>
  <si>
    <t>Largest digital consultation ecosystem in India</t>
  </si>
  <si>
    <t>Innovation Platform (300+ launches, 130+ patents, 14–17% revenue from innovation)</t>
  </si>
  <si>
    <t>Strong R&amp;D but lower commercialisation</t>
  </si>
  <si>
    <t>Early-stage innovation platform</t>
  </si>
  <si>
    <t>Smaller innovation pipeline</t>
  </si>
  <si>
    <t>Industry leader in innovation commercialisation</t>
  </si>
  <si>
    <t>Backward Integration (White Cement + VAM + VAE projects)</t>
  </si>
  <si>
    <t>No comparable backward integration</t>
  </si>
  <si>
    <t>Unique cost-efficiency and supply-chain advantage</t>
  </si>
  <si>
    <t>4% of Total Revenue</t>
  </si>
  <si>
    <t>Assumption / Analysis</t>
  </si>
  <si>
    <t>Supporting Numbers</t>
  </si>
  <si>
    <t>Premium Product Mix</t>
  </si>
  <si>
    <t>Premiumisation is expected to remain the primary revenue driver, with higher contribution from Royale, Apcolite, Nilaya and premium waterproofing products, supporting higher realizations despite moderate industry volume growth.</t>
  </si>
  <si>
    <r>
      <t>~60% of new launches are Premium &amp; Luxury</t>
    </r>
    <r>
      <rPr>
        <sz val="11"/>
        <color theme="1"/>
        <rFont val="Calibri"/>
        <family val="2"/>
        <scheme val="minor"/>
      </rPr>
      <t xml:space="preserve">, </t>
    </r>
    <r>
      <rPr>
        <b/>
        <sz val="11"/>
        <color theme="1"/>
        <rFont val="Calibri"/>
        <family val="2"/>
        <scheme val="minor"/>
      </rPr>
      <t>17% of FY26 revenue from innovation</t>
    </r>
    <r>
      <rPr>
        <sz val="11"/>
        <color theme="1"/>
        <rFont val="Calibri"/>
        <family val="2"/>
        <scheme val="minor"/>
      </rPr>
      <t xml:space="preserve">, Premium housing now </t>
    </r>
    <r>
      <rPr>
        <b/>
        <sz val="11"/>
        <color theme="1"/>
        <rFont val="Calibri"/>
        <family val="2"/>
        <scheme val="minor"/>
      </rPr>
      <t>63% of residential sales</t>
    </r>
    <r>
      <rPr>
        <sz val="11"/>
        <color theme="1"/>
        <rFont val="Calibri"/>
        <family val="2"/>
        <scheme val="minor"/>
      </rPr>
      <t>.</t>
    </r>
  </si>
  <si>
    <t>Innovation-led Revenue</t>
  </si>
  <si>
    <t>Continuous product launches will improve product mix and pricing power, allowing Asian Paints to grow faster than the industry through differentiated offerings.</t>
  </si>
  <si>
    <r>
      <t>300+ product launches</t>
    </r>
    <r>
      <rPr>
        <sz val="11"/>
        <color theme="1"/>
        <rFont val="Calibri"/>
        <family val="2"/>
        <scheme val="minor"/>
      </rPr>
      <t xml:space="preserve">, </t>
    </r>
    <r>
      <rPr>
        <b/>
        <sz val="11"/>
        <color theme="1"/>
        <rFont val="Calibri"/>
        <family val="2"/>
        <scheme val="minor"/>
      </rPr>
      <t>130+ patents</t>
    </r>
    <r>
      <rPr>
        <sz val="11"/>
        <color theme="1"/>
        <rFont val="Calibri"/>
        <family val="2"/>
        <scheme val="minor"/>
      </rPr>
      <t xml:space="preserve">, </t>
    </r>
    <r>
      <rPr>
        <b/>
        <sz val="11"/>
        <color theme="1"/>
        <rFont val="Calibri"/>
        <family val="2"/>
        <scheme val="minor"/>
      </rPr>
      <t>17% revenue from innovation</t>
    </r>
    <r>
      <rPr>
        <sz val="11"/>
        <color theme="1"/>
        <rFont val="Calibri"/>
        <family val="2"/>
        <scheme val="minor"/>
      </rPr>
      <t>.</t>
    </r>
  </si>
  <si>
    <t>Pricing / Realization Growth</t>
  </si>
  <si>
    <t>Revenue growth will increasingly be driven by realizations rather than price competition, supported by premiumisation and selective price hikes following raw material normalization.</t>
  </si>
  <si>
    <r>
      <t>1.2% price hike</t>
    </r>
    <r>
      <rPr>
        <sz val="11"/>
        <color theme="1"/>
        <rFont val="Calibri"/>
        <family val="2"/>
        <scheme val="minor"/>
      </rPr>
      <t xml:space="preserve"> in FY26, stable-to-improving raw material environment, premium mix increasing every quarter.</t>
    </r>
  </si>
  <si>
    <t>Decorative paint demand is expected to normalize gradually with recovery in urban demand, continued rural resilience and expansion of dealer network.</t>
  </si>
  <si>
    <r>
      <t xml:space="preserve">Management guidance of </t>
    </r>
    <r>
      <rPr>
        <b/>
        <sz val="11"/>
        <color theme="1"/>
        <rFont val="Calibri"/>
        <family val="2"/>
        <scheme val="minor"/>
      </rPr>
      <t>high single-digit value growth</t>
    </r>
    <r>
      <rPr>
        <sz val="11"/>
        <color theme="1"/>
        <rFont val="Calibri"/>
        <family val="2"/>
        <scheme val="minor"/>
      </rPr>
      <t xml:space="preserve">, </t>
    </r>
    <r>
      <rPr>
        <b/>
        <sz val="11"/>
        <color theme="1"/>
        <rFont val="Calibri"/>
        <family val="2"/>
        <scheme val="minor"/>
      </rPr>
      <t>mid-single-digit volume growth</t>
    </r>
    <r>
      <rPr>
        <sz val="11"/>
        <color theme="1"/>
        <rFont val="Calibri"/>
        <family val="2"/>
        <scheme val="minor"/>
      </rPr>
      <t xml:space="preserve">, </t>
    </r>
    <r>
      <rPr>
        <b/>
        <sz val="11"/>
        <color theme="1"/>
        <rFont val="Calibri"/>
        <family val="2"/>
        <scheme val="minor"/>
      </rPr>
      <t>1.70 lakh+ retail touchpoints</t>
    </r>
    <r>
      <rPr>
        <sz val="11"/>
        <color theme="1"/>
        <rFont val="Calibri"/>
        <family val="2"/>
        <scheme val="minor"/>
      </rPr>
      <t>.</t>
    </r>
  </si>
  <si>
    <t>Beautiful Homes Ecosystem</t>
  </si>
  <si>
    <t>Beautiful Homes Stores, Painting Services and Home Décor will continue to increase customer wallet share beyond paint, supporting incremental revenue growth.</t>
  </si>
  <si>
    <r>
      <t>74 stores across 53 cities</t>
    </r>
    <r>
      <rPr>
        <sz val="11"/>
        <color theme="1"/>
        <rFont val="Calibri"/>
        <family val="2"/>
        <scheme val="minor"/>
      </rPr>
      <t xml:space="preserve">, Painting Services in </t>
    </r>
    <r>
      <rPr>
        <b/>
        <sz val="11"/>
        <color theme="1"/>
        <rFont val="Calibri"/>
        <family val="2"/>
        <scheme val="minor"/>
      </rPr>
      <t>600+ cities</t>
    </r>
    <r>
      <rPr>
        <sz val="11"/>
        <color theme="1"/>
        <rFont val="Calibri"/>
        <family val="2"/>
        <scheme val="minor"/>
      </rPr>
      <t xml:space="preserve">, Home Décor contributes </t>
    </r>
    <r>
      <rPr>
        <b/>
        <sz val="11"/>
        <color theme="1"/>
        <rFont val="Calibri"/>
        <family val="2"/>
        <scheme val="minor"/>
      </rPr>
      <t>~4% of revenue</t>
    </r>
    <r>
      <rPr>
        <sz val="11"/>
        <color theme="1"/>
        <rFont val="Calibri"/>
        <family val="2"/>
        <scheme val="minor"/>
      </rPr>
      <t>.</t>
    </r>
  </si>
  <si>
    <t>Affluent Household Growth</t>
  </si>
  <si>
    <t>Rising affluent households will accelerate demand for premium paints, wallpapers, lighting and interior solutions, improving average selling prices.</t>
  </si>
  <si>
    <r>
      <t xml:space="preserve">Affluent &amp; Elite households expected to grow at </t>
    </r>
    <r>
      <rPr>
        <b/>
        <sz val="11"/>
        <color theme="1"/>
        <rFont val="Calibri"/>
        <family val="2"/>
        <scheme val="minor"/>
      </rPr>
      <t>~15–16% CAGR</t>
    </r>
    <r>
      <rPr>
        <sz val="11"/>
        <color theme="1"/>
        <rFont val="Calibri"/>
        <family val="2"/>
        <scheme val="minor"/>
      </rPr>
      <t xml:space="preserve"> through 2030.</t>
    </r>
  </si>
  <si>
    <t>Premium Housing Growth</t>
  </si>
  <si>
    <t>Continued premiumisation of India's housing market is expected to increase demand for premium decorative products and luxury home décor solutions.</t>
  </si>
  <si>
    <r>
      <t xml:space="preserve">Premium housing accounts for </t>
    </r>
    <r>
      <rPr>
        <b/>
        <sz val="11"/>
        <color theme="1"/>
        <rFont val="Calibri"/>
        <family val="2"/>
        <scheme val="minor"/>
      </rPr>
      <t>~63% of residential sales (2025)</t>
    </r>
    <r>
      <rPr>
        <sz val="11"/>
        <color theme="1"/>
        <rFont val="Calibri"/>
        <family val="2"/>
        <scheme val="minor"/>
      </rPr>
      <t>, up significantly over recent years.</t>
    </r>
  </si>
  <si>
    <t>Continued expansion of retail touchpoints and digital consultation services will improve penetration across Tier II, Tier III and rural markets.</t>
  </si>
  <si>
    <r>
      <t>1.70 lakh+ dealer network</t>
    </r>
    <r>
      <rPr>
        <sz val="11"/>
        <color theme="1"/>
        <rFont val="Calibri"/>
        <family val="2"/>
        <scheme val="minor"/>
      </rPr>
      <t xml:space="preserve">, AI colour consultation at </t>
    </r>
    <r>
      <rPr>
        <b/>
        <sz val="11"/>
        <color theme="1"/>
        <rFont val="Calibri"/>
        <family val="2"/>
        <scheme val="minor"/>
      </rPr>
      <t>1,000+ locations</t>
    </r>
    <r>
      <rPr>
        <sz val="11"/>
        <color theme="1"/>
        <rFont val="Calibri"/>
        <family val="2"/>
        <scheme val="minor"/>
      </rPr>
      <t>.</t>
    </r>
  </si>
  <si>
    <t>Home Décor is expected to outgrow the core paint business as Asian Paints continues expanding Beautiful Homes, Nilaya and adjacent interior categories.</t>
  </si>
  <si>
    <r>
      <t xml:space="preserve">Home Décor revenue share increased to </t>
    </r>
    <r>
      <rPr>
        <b/>
        <sz val="11"/>
        <color theme="1"/>
        <rFont val="Calibri"/>
        <family val="2"/>
        <scheme val="minor"/>
      </rPr>
      <t>~4%</t>
    </r>
    <r>
      <rPr>
        <sz val="11"/>
        <color theme="1"/>
        <rFont val="Calibri"/>
        <family val="2"/>
        <scheme val="minor"/>
      </rPr>
      <t xml:space="preserve">, Beautiful Homes stores expanded from </t>
    </r>
    <r>
      <rPr>
        <b/>
        <sz val="11"/>
        <color theme="1"/>
        <rFont val="Calibri"/>
        <family val="2"/>
        <scheme val="minor"/>
      </rPr>
      <t>61 to 74</t>
    </r>
    <r>
      <rPr>
        <sz val="11"/>
        <color theme="1"/>
        <rFont val="Calibri"/>
        <family val="2"/>
        <scheme val="minor"/>
      </rPr>
      <t xml:space="preserve"> during FY25–FY26.</t>
    </r>
  </si>
  <si>
    <t>White Cement and VAM–VAE projects are expected to strengthen innovation capability, improve supply-chain control and reduce dependence on imported raw materials, supporting long-term premium product development.</t>
  </si>
  <si>
    <t>Projects under implementation; management expects stronger innovation capabilities and improved cost competitiveness.</t>
  </si>
  <si>
    <t>Macro Environment</t>
  </si>
  <si>
    <t>India's housing demand, rising disposable income and GDP growth are expected to support steady decorative paint demand over the medium term.</t>
  </si>
  <si>
    <r>
      <t xml:space="preserve">GDP growth </t>
    </r>
    <r>
      <rPr>
        <b/>
        <sz val="11"/>
        <color theme="1"/>
        <rFont val="Calibri"/>
        <family val="2"/>
        <scheme val="minor"/>
      </rPr>
      <t>~6.5%</t>
    </r>
    <r>
      <rPr>
        <sz val="11"/>
        <color theme="1"/>
        <rFont val="Calibri"/>
        <family val="2"/>
        <scheme val="minor"/>
      </rPr>
      <t xml:space="preserve">, Paint industry growth </t>
    </r>
    <r>
      <rPr>
        <b/>
        <sz val="11"/>
        <color theme="1"/>
        <rFont val="Calibri"/>
        <family val="2"/>
        <scheme val="minor"/>
      </rPr>
      <t>~6–7% CAGR</t>
    </r>
    <r>
      <rPr>
        <sz val="11"/>
        <color theme="1"/>
        <rFont val="Calibri"/>
        <family val="2"/>
        <scheme val="minor"/>
      </rPr>
      <t>, Premium housing and affluent population continue to expand.</t>
    </r>
  </si>
  <si>
    <r>
      <t>1.2%</t>
    </r>
    <r>
      <rPr>
        <vertAlign val="superscript"/>
        <sz val="11"/>
        <color theme="1"/>
        <rFont val="Calibri"/>
        <family val="2"/>
        <scheme val="minor"/>
      </rPr>
      <t>1</t>
    </r>
  </si>
  <si>
    <t>Add: Capex</t>
  </si>
  <si>
    <t>Less: Disposal</t>
  </si>
  <si>
    <t>Opening Gross PPE</t>
  </si>
  <si>
    <t>Average Gross PPE</t>
  </si>
  <si>
    <t>Depreciation Rate</t>
  </si>
  <si>
    <t>Depreciation Amount</t>
  </si>
  <si>
    <t>As of 29th July 2026</t>
  </si>
  <si>
    <t>Trend</t>
  </si>
  <si>
    <t>PPE Schedule</t>
  </si>
  <si>
    <t>capex for Vam and VAE</t>
  </si>
  <si>
    <t>Capital Expenditure Schedule</t>
  </si>
  <si>
    <t>VAM-VAE</t>
  </si>
  <si>
    <t>Pithampur Water based</t>
  </si>
  <si>
    <t>Total Capex</t>
  </si>
  <si>
    <t xml:space="preserve">Capex </t>
  </si>
  <si>
    <t>Bottom Up</t>
  </si>
  <si>
    <t>White Teak</t>
  </si>
  <si>
    <t>Sub-segment</t>
  </si>
  <si>
    <t>FY23</t>
  </si>
  <si>
    <t>FY24</t>
  </si>
  <si>
    <t>FY25</t>
  </si>
  <si>
    <t>FY26</t>
  </si>
  <si>
    <t>FY23–FY26 CAGR</t>
  </si>
  <si>
    <t>Kitchen / Sleek</t>
  </si>
  <si>
    <t>~425</t>
  </si>
  <si>
    <t>~393</t>
  </si>
  <si>
    <t>~-2.0%</t>
  </si>
  <si>
    <t>Bath / Ess Ess</t>
  </si>
  <si>
    <t>~-5.1%</t>
  </si>
  <si>
    <t>~-3.0%</t>
  </si>
  <si>
    <t>~52.6</t>
  </si>
  <si>
    <t>~44.4%</t>
  </si>
  <si>
    <t>Revenue Segment of Homer Décor</t>
  </si>
  <si>
    <t>Decorative Segment last 10 years CAGR</t>
  </si>
  <si>
    <t>industrial Segment</t>
  </si>
  <si>
    <t>PPGAP(Automotive)</t>
  </si>
  <si>
    <t>AP-PPG(other indurstrial)</t>
  </si>
  <si>
    <t>12% (CAGR 1o years)</t>
  </si>
  <si>
    <t>Main category</t>
  </si>
  <si>
    <t>What it includes</t>
  </si>
  <si>
    <t>Simple example</t>
  </si>
  <si>
    <t>1. Interior Wall Finishes</t>
  </si>
  <si>
    <t>Interior emulsions, premium/luxury/economy paints</t>
  </si>
  <si>
    <t>Royale, Apcolite, Tractor</t>
  </si>
  <si>
    <t>2. Exterior Wall Finishes</t>
  </si>
  <si>
    <t>Exterior emulsions/weather-resistant paints</t>
  </si>
  <si>
    <t>Apex, Ultima, Ace</t>
  </si>
  <si>
    <t>Products preventing seepage, dampness and leakage</t>
  </si>
  <si>
    <t>4. Wood Finishes</t>
  </si>
  <si>
    <t>Paints/coatings/polishes for wooden surfaces</t>
  </si>
  <si>
    <t>5. Enamels</t>
  </si>
  <si>
    <t>Coatings for wood and metal surfaces</t>
  </si>
  <si>
    <t>Doors, windows, grills</t>
  </si>
  <si>
    <t>6. Adhesives</t>
  </si>
  <si>
    <t>Products used for bonding/installation</t>
  </si>
  <si>
    <t>Wood/home adhesives</t>
  </si>
  <si>
    <t>7. Wall Textures</t>
  </si>
  <si>
    <t>Decorative textured finishes for walls</t>
  </si>
  <si>
    <t>Royale Play, textures</t>
  </si>
  <si>
    <t>8. Undercoats</t>
  </si>
  <si>
    <t>Primers and preparatory coatings before the final paint</t>
  </si>
  <si>
    <t>Wall primers</t>
  </si>
  <si>
    <t>9. Tools &amp; Ancillaries</t>
  </si>
  <si>
    <t>Painting tools and accessories</t>
  </si>
  <si>
    <t>Brushes, rollers, etc.</t>
  </si>
  <si>
    <t>SmartCare by for diff segments</t>
  </si>
  <si>
    <t>WoodTech for diff segment</t>
  </si>
  <si>
    <t>trugrip,Loctite</t>
  </si>
  <si>
    <t>60% revenue commanded</t>
  </si>
  <si>
    <t>Categories of product under Decorative segment</t>
  </si>
  <si>
    <t>Niliya</t>
  </si>
  <si>
    <t>Premium/luxury wall covering and décor brand</t>
  </si>
  <si>
    <t>🛋️ Luxury/bespoke furniture</t>
  </si>
  <si>
    <t>🛁 Luxury bathware</t>
  </si>
  <si>
    <t>💡 Lighting</t>
  </si>
  <si>
    <t>🧶 Textiles and furnishings</t>
  </si>
  <si>
    <t>🏺 Collectible crafts</t>
  </si>
  <si>
    <t>🖼️ Art and antiques</t>
  </si>
  <si>
    <t>🍽️ Tableware</t>
  </si>
  <si>
    <t>🪵 Other premium home décor</t>
  </si>
  <si>
    <t>Nilaya Arc</t>
  </si>
  <si>
    <t>Premium/super luxury interiro paint</t>
  </si>
  <si>
    <t>Niliya Anthology</t>
  </si>
  <si>
    <t>Affected by CO</t>
  </si>
  <si>
    <t>Very High</t>
  </si>
  <si>
    <t>Moderate</t>
  </si>
  <si>
    <t>Decorative</t>
  </si>
  <si>
    <t>Indusrtrial</t>
  </si>
  <si>
    <t>International</t>
  </si>
  <si>
    <t>Revenue Distribution as of FY2026</t>
  </si>
  <si>
    <t>Indian real Estate</t>
  </si>
  <si>
    <t>Source:IMARC</t>
  </si>
  <si>
    <t>Lower middle---&gt; 2.6% CAGR over 12 yrs</t>
  </si>
  <si>
    <t>Upper Middle---&gt; +8.81% CAGR</t>
  </si>
  <si>
    <t>High income---&gt; +11.33% CAGR</t>
  </si>
  <si>
    <t>&lt;------As per WEF</t>
  </si>
  <si>
    <t>Calculation of ROC</t>
  </si>
  <si>
    <t>Current Assets</t>
  </si>
  <si>
    <t>Trade receivables</t>
  </si>
  <si>
    <t>Loans &amp; Advances</t>
  </si>
  <si>
    <t>Other Asset Item</t>
  </si>
  <si>
    <t>Current Liabilities</t>
  </si>
  <si>
    <t>Advances from Customers</t>
  </si>
  <si>
    <t>Other Current liabilities</t>
  </si>
  <si>
    <t>Total Current liabilities</t>
  </si>
  <si>
    <t>Net Working Capital</t>
  </si>
  <si>
    <t>Non Current Assets</t>
  </si>
  <si>
    <t>Net Non Current Assets</t>
  </si>
  <si>
    <t>Invested Capital</t>
  </si>
  <si>
    <t>ROIC</t>
  </si>
  <si>
    <t>Calculation of Reinvestment Rate</t>
  </si>
  <si>
    <t>Net Capex</t>
  </si>
  <si>
    <t>Change in WC</t>
  </si>
  <si>
    <t>Marginal Tax Rate</t>
  </si>
  <si>
    <t>EBIT(1-Tax rate)</t>
  </si>
  <si>
    <t xml:space="preserve">Reinvestment </t>
  </si>
  <si>
    <t>Reinvestment Rate</t>
  </si>
  <si>
    <t>4 Year Average</t>
  </si>
  <si>
    <t>4 Year Median</t>
  </si>
  <si>
    <t>Calculation of Growth Rate</t>
  </si>
  <si>
    <t>Intrinsic growth</t>
  </si>
  <si>
    <t>Decorative Segment</t>
  </si>
  <si>
    <t>South India</t>
  </si>
  <si>
    <t>North India</t>
  </si>
  <si>
    <t>West India</t>
  </si>
  <si>
    <t>East India</t>
  </si>
  <si>
    <t>out of 100 for each</t>
  </si>
  <si>
    <t>Market Share Asian Paints</t>
  </si>
  <si>
    <t>Indian real estate</t>
  </si>
  <si>
    <t>Source: mordor intelligence</t>
  </si>
  <si>
    <t>Delhi NCR Region</t>
  </si>
  <si>
    <t xml:space="preserve">North </t>
  </si>
  <si>
    <t>NCR residential area sold(MSF)</t>
  </si>
  <si>
    <t>y.o.y Growth</t>
  </si>
  <si>
    <t>(Source: ICRA and Propequity)</t>
  </si>
  <si>
    <t>Note:</t>
  </si>
  <si>
    <t>E2026</t>
  </si>
  <si>
    <t>1. FY2026 as per ICRA its is expcted to touch 120 MSF which could be 16.5% y.o.y</t>
  </si>
  <si>
    <t>CAGR past 6 years</t>
  </si>
  <si>
    <t>2. For FY2027 growth will remain flattish as market has already achieved a good number</t>
  </si>
  <si>
    <t>South</t>
  </si>
  <si>
    <t>Bengluru Residential area sold (MSF)</t>
  </si>
  <si>
    <t>H1-48%</t>
  </si>
  <si>
    <t>Luxury share of area sold</t>
  </si>
  <si>
    <t>H1-49%</t>
  </si>
  <si>
    <t>Shares of luxury launches</t>
  </si>
  <si>
    <t>West</t>
  </si>
  <si>
    <t>Mumbai metropolitan</t>
  </si>
  <si>
    <t>9m-44%</t>
  </si>
  <si>
    <t>Mumbai Residential area sold (MSF)</t>
  </si>
  <si>
    <t>1. FY2027 the residential area sold is to decline 0-3%</t>
  </si>
  <si>
    <t>Bangluru</t>
  </si>
  <si>
    <t>2.MMR is more mature than the other two markets, so affordability is becoming a bigger constraint. Higher property prices are reducing absorption in the affordable and mid-income segments. Luxury demand remains resilient, but it is not sufficient to offset the weakness in the broader market, which is why ICRA expects a marginal 0–3% contraction in FY2027.</t>
  </si>
  <si>
    <t>3.Demand is normalising after a period of exceptionally strong growth. NCR recorded very strong growth in FY2025 and is estimated to grow another 12–15% in FY2026, so the FY2027 forecast reflects a return to a more sustainable growth rate rather than a deterioration in underlying demand.</t>
  </si>
  <si>
    <t>1.Demand for mid-income and luxury homes remains healthy, but the recent slowdown in luxury sales velocity means overall housing volumes are unlikely to maintain their earlier rapid growth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</si>
</sst>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 #,##0.00_ ;_ * \-#,##0.00_ ;_ * &quot;-&quot;??_ ;_ @_ "/>
    <numFmt numFmtId="164" formatCode="[$-409]mmm\-yy;@"/>
    <numFmt numFmtId="165" formatCode="&quot;₹&quot;\ #,##0.0"/>
    <numFmt numFmtId="166" formatCode="0.0"/>
    <numFmt numFmtId="167" formatCode="_(* #,##0.00_);_(* \(#,##0.00\);_(* &quot;-&quot;??_);_(@_)"/>
    <numFmt numFmtId="168" formatCode="&quot;₹&quot;#,##0.0;\(&quot;₹&quot;#,##0.0\)\,\-"/>
    <numFmt numFmtId="169" formatCode="0.00&quot;x&quot;"/>
    <numFmt numFmtId="170" formatCode="0\ &quot;Days&quot;"/>
    <numFmt numFmtId="171" formatCode="0&quot;F&quot;"/>
    <numFmt numFmtId="172" formatCode="0.000"/>
    <numFmt numFmtId="173" formatCode="#,##0.00&quot;x&quot;"/>
    <numFmt numFmtId="174" formatCode="0.000%"/>
    <numFmt numFmtId="175" formatCode="_-[$$-409]* #,##0.00_ ;_-[$$-409]* \-#,##0.00\ ;_-[$$-409]* &quot;-&quot;??_ ;_-@_ "/>
    <numFmt numFmtId="176" formatCode="0.0%"/>
    <numFmt numFmtId="177" formatCode="&quot;₹&quot;\ #,##0.0;&quot;₹&quot;\ \-#,##0.0"/>
    <numFmt numFmtId="178" formatCode="&quot;Q&quot;0"/>
    <numFmt numFmtId="179" formatCode="#,##0.0"/>
    <numFmt numFmtId="180" formatCode="_ * #,##0_ ;_ * \-#,##0_ ;_ * &quot;-&quot;??_ ;_ @_ "/>
    <numFmt numFmtId="181" formatCode="&quot;₹&quot;#,##0.0;\(&quot;₹&quot;#,##0.0\);\-"/>
  </numFmts>
  <fonts count="24" x14ac:knownFonts="1">
    <font>
      <sz val="11"/>
      <color theme="1"/>
      <name val="Calibri"/>
      <family val="2"/>
      <scheme val="minor"/>
    </font>
    <font>
      <sz val="11"/>
      <color theme="1"/>
      <name val="Calibri"/>
      <family val="2"/>
      <scheme val="minor"/>
    </font>
    <font>
      <sz val="11"/>
      <color theme="0"/>
      <name val="Calibri"/>
      <family val="2"/>
    </font>
    <font>
      <b/>
      <sz val="11"/>
      <color theme="1"/>
      <name val="Calibri"/>
      <family val="2"/>
      <scheme val="minor"/>
    </font>
    <font>
      <b/>
      <sz val="11"/>
      <color theme="0"/>
      <name val="Calibri"/>
      <family val="2"/>
      <scheme val="minor"/>
    </font>
    <font>
      <u/>
      <sz val="11"/>
      <color theme="10"/>
      <name val="Calibri"/>
      <family val="2"/>
      <scheme val="minor"/>
    </font>
    <font>
      <i/>
      <sz val="11"/>
      <color theme="0" tint="-0.499984740745262"/>
      <name val="Calibri"/>
      <family val="2"/>
      <scheme val="minor"/>
    </font>
    <font>
      <i/>
      <sz val="11"/>
      <color theme="1"/>
      <name val="Calibri"/>
      <family val="2"/>
      <scheme val="minor"/>
    </font>
    <font>
      <sz val="11"/>
      <name val="Calibri"/>
      <family val="2"/>
      <scheme val="minor"/>
    </font>
    <font>
      <sz val="11"/>
      <color rgb="FF0000FF"/>
      <name val="Calibri"/>
      <family val="2"/>
      <scheme val="minor"/>
    </font>
    <font>
      <vertAlign val="superscript"/>
      <sz val="11"/>
      <color theme="1"/>
      <name val="Calibri"/>
      <family val="2"/>
      <scheme val="minor"/>
    </font>
    <font>
      <b/>
      <i/>
      <sz val="11"/>
      <color theme="1"/>
      <name val="Calibri"/>
      <family val="2"/>
      <scheme val="minor"/>
    </font>
    <font>
      <i/>
      <sz val="10"/>
      <color theme="1"/>
      <name val="Calibri"/>
      <family val="2"/>
      <scheme val="minor"/>
    </font>
    <font>
      <b/>
      <sz val="11"/>
      <color rgb="FFFF0000"/>
      <name val="Calibri"/>
      <family val="2"/>
      <scheme val="minor"/>
    </font>
    <font>
      <sz val="11"/>
      <color rgb="FF665EFD"/>
      <name val="Arial"/>
      <family val="2"/>
    </font>
    <font>
      <b/>
      <sz val="11"/>
      <color rgb="FF665EFD"/>
      <name val="Arial"/>
      <family val="2"/>
    </font>
    <font>
      <b/>
      <i/>
      <sz val="11"/>
      <color theme="0"/>
      <name val="Calibri"/>
      <family val="2"/>
      <scheme val="minor"/>
    </font>
    <font>
      <sz val="10"/>
      <color theme="1"/>
      <name val="Arial"/>
      <family val="2"/>
    </font>
    <font>
      <b/>
      <sz val="11"/>
      <color rgb="FF0000FF"/>
      <name val="Calibri"/>
      <family val="2"/>
      <scheme val="minor"/>
    </font>
    <font>
      <sz val="11"/>
      <color rgb="FF22222F"/>
      <name val="Arial"/>
      <family val="2"/>
    </font>
    <font>
      <sz val="11"/>
      <color theme="0"/>
      <name val="Calibri"/>
      <family val="2"/>
      <scheme val="minor"/>
    </font>
    <font>
      <i/>
      <sz val="9"/>
      <color theme="0" tint="-0.499984740745262"/>
      <name val="Calibri"/>
      <family val="2"/>
      <scheme val="minor"/>
    </font>
    <font>
      <i/>
      <sz val="9"/>
      <color theme="0" tint="-0.34998626667073579"/>
      <name val="Calibri"/>
      <family val="2"/>
      <scheme val="minor"/>
    </font>
    <font>
      <b/>
      <sz val="10"/>
      <color theme="1"/>
      <name val="Calibri"/>
      <family val="2"/>
      <scheme val="minor"/>
    </font>
  </fonts>
  <fills count="16">
    <fill>
      <patternFill patternType="none"/>
    </fill>
    <fill>
      <patternFill patternType="gray125"/>
    </fill>
    <fill>
      <patternFill patternType="solid">
        <fgColor theme="9"/>
      </patternFill>
    </fill>
    <fill>
      <patternFill patternType="solid">
        <fgColor theme="8" tint="0.59999389629810485"/>
        <bgColor indexed="64"/>
      </patternFill>
    </fill>
    <fill>
      <patternFill patternType="solid">
        <fgColor rgb="FF0275D8"/>
        <bgColor indexed="64"/>
      </patternFill>
    </fill>
    <fill>
      <patternFill patternType="solid">
        <fgColor theme="8" tint="-0.499984740745262"/>
        <bgColor indexed="64"/>
      </patternFill>
    </fill>
    <fill>
      <patternFill patternType="solid">
        <fgColor rgb="FF00206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FF0000"/>
        <bgColor indexed="64"/>
      </patternFill>
    </fill>
    <fill>
      <patternFill patternType="solid">
        <fgColor theme="2" tint="-0.249977111117893"/>
        <bgColor indexed="64"/>
      </patternFill>
    </fill>
    <fill>
      <patternFill patternType="solid">
        <fgColor rgb="FFFFFFFF"/>
        <bgColor indexed="64"/>
      </patternFill>
    </fill>
    <fill>
      <patternFill patternType="solid">
        <fgColor theme="4"/>
        <bgColor theme="4"/>
      </patternFill>
    </fill>
    <fill>
      <patternFill patternType="solid">
        <fgColor theme="4" tint="0.79998168889431442"/>
        <bgColor theme="4" tint="0.79998168889431442"/>
      </patternFill>
    </fill>
  </fills>
  <borders count="32">
    <border>
      <left/>
      <right/>
      <top/>
      <bottom/>
      <diagonal/>
    </border>
    <border>
      <left/>
      <right/>
      <top style="dotted">
        <color auto="1"/>
      </top>
      <bottom style="dotted">
        <color auto="1"/>
      </bottom>
      <diagonal/>
    </border>
    <border>
      <left style="medium">
        <color indexed="64"/>
      </left>
      <right style="medium">
        <color indexed="64"/>
      </right>
      <top style="medium">
        <color indexed="64"/>
      </top>
      <bottom style="medium">
        <color indexed="64"/>
      </bottom>
      <diagonal/>
    </border>
    <border>
      <left/>
      <right/>
      <top style="dotted">
        <color auto="1"/>
      </top>
      <bottom/>
      <diagonal/>
    </border>
    <border>
      <left/>
      <right/>
      <top/>
      <bottom style="dotted">
        <color auto="1"/>
      </bottom>
      <diagonal/>
    </border>
    <border>
      <left/>
      <right/>
      <top style="dotted">
        <color rgb="FF002060"/>
      </top>
      <bottom/>
      <diagonal/>
    </border>
    <border>
      <left/>
      <right/>
      <top/>
      <bottom style="dotted">
        <color rgb="FF002060"/>
      </bottom>
      <diagonal/>
    </border>
    <border>
      <left/>
      <right/>
      <top style="thin">
        <color auto="1"/>
      </top>
      <bottom/>
      <diagonal/>
    </border>
    <border>
      <left/>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auto="1"/>
      </bottom>
      <diagonal/>
    </border>
    <border>
      <left/>
      <right/>
      <top style="thin">
        <color indexed="64"/>
      </top>
      <bottom style="double">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top/>
      <bottom style="thin">
        <color theme="0"/>
      </bottom>
      <diagonal/>
    </border>
    <border>
      <left/>
      <right/>
      <top style="hair">
        <color rgb="FF002060"/>
      </top>
      <bottom style="hair">
        <color rgb="FF002060"/>
      </bottom>
      <diagonal/>
    </border>
    <border>
      <left/>
      <right style="thin">
        <color auto="1"/>
      </right>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5" fillId="0" borderId="0" applyNumberFormat="0" applyFill="0" applyBorder="0" applyAlignment="0" applyProtection="0"/>
  </cellStyleXfs>
  <cellXfs count="288">
    <xf numFmtId="0" fontId="0" fillId="0" borderId="0" xfId="0"/>
    <xf numFmtId="0" fontId="3" fillId="0" borderId="0" xfId="0" applyFont="1"/>
    <xf numFmtId="0" fontId="3" fillId="3" borderId="0" xfId="0" applyFont="1" applyFill="1"/>
    <xf numFmtId="164" fontId="4" fillId="4" borderId="0" xfId="0" applyNumberFormat="1" applyFont="1" applyFill="1" applyAlignment="1">
      <alignment horizontal="center"/>
    </xf>
    <xf numFmtId="43" fontId="3" fillId="0" borderId="0" xfId="1" applyFont="1" applyBorder="1"/>
    <xf numFmtId="43" fontId="1" fillId="0" borderId="0" xfId="1" applyFont="1" applyBorder="1"/>
    <xf numFmtId="43" fontId="0" fillId="0" borderId="0" xfId="1" applyFont="1" applyBorder="1"/>
    <xf numFmtId="0" fontId="6" fillId="0" borderId="0" xfId="0" applyFont="1"/>
    <xf numFmtId="10" fontId="6" fillId="0" borderId="0" xfId="2" applyNumberFormat="1" applyFont="1"/>
    <xf numFmtId="0" fontId="4" fillId="5" borderId="0" xfId="0" applyFont="1" applyFill="1"/>
    <xf numFmtId="17" fontId="4" fillId="5" borderId="0" xfId="0" applyNumberFormat="1" applyFont="1" applyFill="1"/>
    <xf numFmtId="0" fontId="4" fillId="5" borderId="0" xfId="0" applyFont="1" applyFill="1" applyAlignment="1">
      <alignment horizontal="right"/>
    </xf>
    <xf numFmtId="165" fontId="0" fillId="0" borderId="0" xfId="0" applyNumberFormat="1"/>
    <xf numFmtId="0" fontId="7" fillId="0" borderId="0" xfId="0" applyFont="1"/>
    <xf numFmtId="0" fontId="6" fillId="0" borderId="0" xfId="0" applyFont="1" applyAlignment="1">
      <alignment horizontal="right"/>
    </xf>
    <xf numFmtId="10" fontId="6" fillId="0" borderId="0" xfId="2" applyNumberFormat="1" applyFont="1" applyAlignment="1">
      <alignment horizontal="right"/>
    </xf>
    <xf numFmtId="0" fontId="0" fillId="3" borderId="0" xfId="0" applyFill="1"/>
    <xf numFmtId="166" fontId="0" fillId="0" borderId="0" xfId="0" applyNumberFormat="1"/>
    <xf numFmtId="164" fontId="4" fillId="4" borderId="0" xfId="1" applyNumberFormat="1" applyFont="1" applyFill="1" applyBorder="1"/>
    <xf numFmtId="164" fontId="8" fillId="0" borderId="0" xfId="1" applyNumberFormat="1" applyFont="1" applyFill="1" applyBorder="1"/>
    <xf numFmtId="167" fontId="0" fillId="0" borderId="0" xfId="1" applyNumberFormat="1" applyFont="1" applyBorder="1"/>
    <xf numFmtId="165" fontId="3" fillId="0" borderId="0" xfId="0" applyNumberFormat="1" applyFont="1"/>
    <xf numFmtId="168" fontId="0" fillId="0" borderId="0" xfId="0" applyNumberFormat="1"/>
    <xf numFmtId="0" fontId="3" fillId="0" borderId="1" xfId="0" applyFont="1" applyBorder="1"/>
    <xf numFmtId="165" fontId="3" fillId="0" borderId="1" xfId="0" applyNumberFormat="1" applyFont="1" applyBorder="1"/>
    <xf numFmtId="9" fontId="0" fillId="0" borderId="0" xfId="2" applyFont="1"/>
    <xf numFmtId="0" fontId="0" fillId="0" borderId="0" xfId="0" applyAlignment="1">
      <alignment horizontal="right"/>
    </xf>
    <xf numFmtId="0" fontId="0" fillId="0" borderId="2" xfId="0" applyBorder="1"/>
    <xf numFmtId="0" fontId="0" fillId="0" borderId="3" xfId="0" applyBorder="1"/>
    <xf numFmtId="9" fontId="0" fillId="0" borderId="3" xfId="2" applyFont="1" applyBorder="1" applyAlignment="1">
      <alignment horizontal="right"/>
    </xf>
    <xf numFmtId="9" fontId="0" fillId="0" borderId="3" xfId="2" applyFont="1" applyBorder="1"/>
    <xf numFmtId="9" fontId="0" fillId="0" borderId="0" xfId="2" applyFont="1" applyBorder="1"/>
    <xf numFmtId="0" fontId="0" fillId="0" borderId="4" xfId="0" applyBorder="1"/>
    <xf numFmtId="0" fontId="0" fillId="0" borderId="4" xfId="0" applyBorder="1" applyAlignment="1">
      <alignment horizontal="right"/>
    </xf>
    <xf numFmtId="9" fontId="0" fillId="0" borderId="4" xfId="2" applyFont="1" applyBorder="1"/>
    <xf numFmtId="169" fontId="0" fillId="0" borderId="4" xfId="0" applyNumberFormat="1" applyBorder="1"/>
    <xf numFmtId="169" fontId="0" fillId="0" borderId="3" xfId="0" applyNumberFormat="1" applyBorder="1"/>
    <xf numFmtId="169" fontId="0" fillId="0" borderId="0" xfId="0" applyNumberFormat="1"/>
    <xf numFmtId="170" fontId="0" fillId="0" borderId="3" xfId="0" applyNumberFormat="1" applyBorder="1"/>
    <xf numFmtId="170" fontId="0" fillId="0" borderId="0" xfId="0" applyNumberFormat="1"/>
    <xf numFmtId="170" fontId="0" fillId="0" borderId="4" xfId="0" applyNumberFormat="1" applyBorder="1"/>
    <xf numFmtId="0" fontId="0" fillId="0" borderId="5" xfId="0" applyBorder="1"/>
    <xf numFmtId="9" fontId="0" fillId="0" borderId="5" xfId="2" applyFont="1" applyBorder="1"/>
    <xf numFmtId="0" fontId="0" fillId="0" borderId="6" xfId="0" applyBorder="1"/>
    <xf numFmtId="9" fontId="0" fillId="0" borderId="6" xfId="2" applyFont="1" applyBorder="1"/>
    <xf numFmtId="169" fontId="0" fillId="0" borderId="6" xfId="0" applyNumberFormat="1" applyBorder="1"/>
    <xf numFmtId="169" fontId="0" fillId="0" borderId="5" xfId="0" applyNumberFormat="1" applyBorder="1"/>
    <xf numFmtId="170" fontId="0" fillId="0" borderId="5" xfId="0" applyNumberFormat="1" applyBorder="1"/>
    <xf numFmtId="170" fontId="0" fillId="0" borderId="6" xfId="0" applyNumberFormat="1" applyBorder="1"/>
    <xf numFmtId="0" fontId="4" fillId="6" borderId="0" xfId="0" applyFont="1" applyFill="1"/>
    <xf numFmtId="10" fontId="0" fillId="0" borderId="0" xfId="2" applyNumberFormat="1" applyFont="1"/>
    <xf numFmtId="0" fontId="9" fillId="0" borderId="0" xfId="0" applyFont="1"/>
    <xf numFmtId="0" fontId="0" fillId="7" borderId="0" xfId="0" applyFill="1"/>
    <xf numFmtId="0" fontId="0" fillId="0" borderId="7" xfId="0" applyBorder="1"/>
    <xf numFmtId="0" fontId="0" fillId="0" borderId="8" xfId="0" applyBorder="1"/>
    <xf numFmtId="2" fontId="0" fillId="0" borderId="0" xfId="0" applyNumberFormat="1"/>
    <xf numFmtId="0" fontId="3" fillId="0" borderId="8" xfId="0" applyFont="1" applyBorder="1"/>
    <xf numFmtId="10" fontId="0" fillId="0" borderId="0" xfId="0" applyNumberFormat="1"/>
    <xf numFmtId="2" fontId="0" fillId="0" borderId="3" xfId="0" applyNumberFormat="1" applyBorder="1"/>
    <xf numFmtId="0" fontId="3" fillId="0" borderId="8" xfId="0" applyFont="1" applyBorder="1" applyAlignment="1">
      <alignment horizontal="right"/>
    </xf>
    <xf numFmtId="4" fontId="0" fillId="0" borderId="0" xfId="0" applyNumberFormat="1"/>
    <xf numFmtId="4" fontId="0" fillId="0" borderId="3" xfId="0" applyNumberFormat="1" applyBorder="1"/>
    <xf numFmtId="10" fontId="9" fillId="0" borderId="0" xfId="0" applyNumberFormat="1" applyFont="1"/>
    <xf numFmtId="10" fontId="0" fillId="8" borderId="3" xfId="0" applyNumberFormat="1" applyFill="1" applyBorder="1"/>
    <xf numFmtId="0" fontId="11" fillId="0" borderId="0" xfId="0" applyFont="1"/>
    <xf numFmtId="0" fontId="9" fillId="0" borderId="0" xfId="0" applyFont="1" applyAlignment="1">
      <alignment horizontal="right"/>
    </xf>
    <xf numFmtId="10" fontId="9" fillId="0" borderId="0" xfId="2" applyNumberFormat="1" applyFont="1" applyAlignment="1">
      <alignment horizontal="right"/>
    </xf>
    <xf numFmtId="2" fontId="0" fillId="0" borderId="0" xfId="0" applyNumberFormat="1" applyAlignment="1">
      <alignment horizontal="right"/>
    </xf>
    <xf numFmtId="0" fontId="12" fillId="0" borderId="0" xfId="0" applyFont="1"/>
    <xf numFmtId="0" fontId="12" fillId="0" borderId="0" xfId="0" applyFont="1" applyAlignment="1">
      <alignment vertical="top"/>
    </xf>
    <xf numFmtId="0" fontId="0" fillId="8" borderId="0" xfId="0" applyFill="1"/>
    <xf numFmtId="2" fontId="0" fillId="8" borderId="0" xfId="0" applyNumberFormat="1" applyFill="1"/>
    <xf numFmtId="0" fontId="0" fillId="0" borderId="10" xfId="0" applyBorder="1"/>
    <xf numFmtId="9" fontId="9" fillId="0" borderId="0" xfId="0" applyNumberFormat="1" applyFont="1"/>
    <xf numFmtId="2" fontId="0" fillId="0" borderId="7" xfId="0" applyNumberFormat="1" applyBorder="1"/>
    <xf numFmtId="2" fontId="0" fillId="0" borderId="8" xfId="0" applyNumberFormat="1" applyBorder="1"/>
    <xf numFmtId="0" fontId="3" fillId="0" borderId="7" xfId="0" applyFont="1" applyBorder="1"/>
    <xf numFmtId="4" fontId="0" fillId="8" borderId="3" xfId="0" applyNumberFormat="1" applyFill="1" applyBorder="1"/>
    <xf numFmtId="0" fontId="3" fillId="0" borderId="9" xfId="0" applyFont="1" applyBorder="1"/>
    <xf numFmtId="4" fontId="0" fillId="8" borderId="0" xfId="2" applyNumberFormat="1" applyFont="1" applyFill="1"/>
    <xf numFmtId="2" fontId="9" fillId="0" borderId="0" xfId="0" applyNumberFormat="1" applyFont="1"/>
    <xf numFmtId="0" fontId="0" fillId="0" borderId="0" xfId="0" applyAlignment="1">
      <alignment horizontal="left"/>
    </xf>
    <xf numFmtId="0" fontId="3" fillId="0" borderId="0" xfId="0" applyFont="1" applyAlignment="1">
      <alignment horizontal="left"/>
    </xf>
    <xf numFmtId="10" fontId="0" fillId="0" borderId="0" xfId="0" applyNumberFormat="1" applyAlignment="1">
      <alignment horizontal="right"/>
    </xf>
    <xf numFmtId="10" fontId="3" fillId="0" borderId="7" xfId="0" applyNumberFormat="1" applyFont="1" applyBorder="1"/>
    <xf numFmtId="10" fontId="0" fillId="8" borderId="2" xfId="2" applyNumberFormat="1" applyFont="1" applyFill="1" applyBorder="1"/>
    <xf numFmtId="0" fontId="3" fillId="0" borderId="3" xfId="0" applyFont="1" applyBorder="1"/>
    <xf numFmtId="43" fontId="3" fillId="0" borderId="0" xfId="0" applyNumberFormat="1" applyFont="1"/>
    <xf numFmtId="10" fontId="3" fillId="0" borderId="0" xfId="2" applyNumberFormat="1" applyFont="1"/>
    <xf numFmtId="43" fontId="0" fillId="0" borderId="0" xfId="0" applyNumberFormat="1"/>
    <xf numFmtId="9" fontId="3" fillId="0" borderId="0" xfId="2" applyFont="1"/>
    <xf numFmtId="0" fontId="0" fillId="0" borderId="0" xfId="0" applyAlignment="1">
      <alignment horizontal="left" indent="1"/>
    </xf>
    <xf numFmtId="0" fontId="3" fillId="0" borderId="11" xfId="0" applyFont="1" applyBorder="1"/>
    <xf numFmtId="168" fontId="3" fillId="0" borderId="11" xfId="0" applyNumberFormat="1" applyFont="1" applyBorder="1"/>
    <xf numFmtId="0" fontId="3" fillId="0" borderId="12" xfId="0" applyFont="1" applyBorder="1"/>
    <xf numFmtId="0" fontId="0" fillId="0" borderId="11" xfId="0" applyBorder="1"/>
    <xf numFmtId="171" fontId="4" fillId="6" borderId="0" xfId="0" applyNumberFormat="1" applyFont="1" applyFill="1"/>
    <xf numFmtId="10" fontId="0" fillId="8" borderId="0" xfId="0" applyNumberFormat="1" applyFill="1"/>
    <xf numFmtId="0" fontId="0" fillId="7" borderId="11" xfId="0" applyFill="1" applyBorder="1"/>
    <xf numFmtId="0" fontId="9" fillId="7" borderId="11" xfId="0" applyFont="1" applyFill="1" applyBorder="1"/>
    <xf numFmtId="172" fontId="0" fillId="0" borderId="11" xfId="0" applyNumberFormat="1" applyBorder="1"/>
    <xf numFmtId="0" fontId="3" fillId="7" borderId="12" xfId="0" applyFont="1" applyFill="1" applyBorder="1"/>
    <xf numFmtId="43" fontId="13" fillId="0" borderId="0" xfId="0" applyNumberFormat="1" applyFont="1"/>
    <xf numFmtId="173" fontId="13" fillId="0" borderId="0" xfId="2" applyNumberFormat="1" applyFont="1"/>
    <xf numFmtId="0" fontId="0" fillId="0" borderId="14" xfId="0" applyBorder="1"/>
    <xf numFmtId="174" fontId="0" fillId="0" borderId="14" xfId="2" applyNumberFormat="1" applyFont="1" applyBorder="1"/>
    <xf numFmtId="0" fontId="3" fillId="0" borderId="14" xfId="0" applyFont="1" applyBorder="1" applyAlignment="1">
      <alignment horizontal="center"/>
    </xf>
    <xf numFmtId="10" fontId="9" fillId="0" borderId="0" xfId="2" applyNumberFormat="1" applyFont="1"/>
    <xf numFmtId="0" fontId="3" fillId="0" borderId="0" xfId="0" applyFont="1" applyAlignment="1">
      <alignment horizontal="left" indent="1"/>
    </xf>
    <xf numFmtId="0" fontId="3" fillId="10" borderId="0" xfId="0" applyFont="1" applyFill="1"/>
    <xf numFmtId="0" fontId="3" fillId="0" borderId="14" xfId="0" applyFont="1" applyBorder="1"/>
    <xf numFmtId="171" fontId="3" fillId="0" borderId="14" xfId="0" applyNumberFormat="1" applyFont="1" applyBorder="1"/>
    <xf numFmtId="0" fontId="3" fillId="0" borderId="2" xfId="0" applyFont="1" applyBorder="1"/>
    <xf numFmtId="43" fontId="0" fillId="0" borderId="14" xfId="1" applyFont="1" applyBorder="1"/>
    <xf numFmtId="43" fontId="0" fillId="0" borderId="14" xfId="1" applyFont="1" applyFill="1" applyBorder="1"/>
    <xf numFmtId="43" fontId="3" fillId="0" borderId="2" xfId="1" applyFont="1" applyFill="1" applyBorder="1"/>
    <xf numFmtId="43" fontId="3" fillId="0" borderId="14" xfId="1" applyFont="1" applyBorder="1"/>
    <xf numFmtId="43" fontId="0" fillId="0" borderId="16" xfId="1" applyFont="1" applyFill="1" applyBorder="1"/>
    <xf numFmtId="165" fontId="0" fillId="0" borderId="14" xfId="0" applyNumberFormat="1" applyBorder="1"/>
    <xf numFmtId="10" fontId="0" fillId="0" borderId="14" xfId="0" applyNumberFormat="1" applyBorder="1"/>
    <xf numFmtId="10" fontId="0" fillId="0" borderId="14" xfId="2" applyNumberFormat="1" applyFont="1" applyBorder="1"/>
    <xf numFmtId="0" fontId="3" fillId="0" borderId="14" xfId="0" applyFont="1" applyBorder="1" applyAlignment="1">
      <alignment horizontal="center" vertical="center"/>
    </xf>
    <xf numFmtId="0" fontId="3" fillId="0" borderId="14" xfId="0" applyFont="1" applyBorder="1" applyAlignment="1">
      <alignment vertical="center"/>
    </xf>
    <xf numFmtId="0" fontId="0" fillId="0" borderId="14" xfId="0" applyBorder="1" applyAlignment="1">
      <alignment vertical="center"/>
    </xf>
    <xf numFmtId="0" fontId="3" fillId="0" borderId="0" xfId="0" applyFont="1" applyAlignment="1">
      <alignment vertical="center"/>
    </xf>
    <xf numFmtId="0" fontId="3" fillId="0" borderId="14" xfId="0" applyFont="1" applyBorder="1" applyAlignment="1">
      <alignment horizontal="center" vertical="center" wrapText="1"/>
    </xf>
    <xf numFmtId="0" fontId="3" fillId="0" borderId="14" xfId="0" applyFont="1" applyBorder="1" applyAlignment="1">
      <alignment vertical="center" wrapText="1"/>
    </xf>
    <xf numFmtId="0" fontId="0" fillId="0" borderId="14" xfId="0" applyBorder="1" applyAlignment="1">
      <alignment vertical="center" wrapText="1"/>
    </xf>
    <xf numFmtId="0" fontId="3" fillId="0" borderId="0" xfId="0" applyFont="1" applyAlignment="1">
      <alignment horizontal="center" vertical="center" wrapText="1"/>
    </xf>
    <xf numFmtId="0" fontId="0" fillId="0" borderId="14" xfId="0" applyBorder="1" applyAlignment="1">
      <alignment horizontal="center" vertical="center"/>
    </xf>
    <xf numFmtId="0" fontId="11" fillId="0" borderId="14" xfId="0" applyFont="1" applyBorder="1"/>
    <xf numFmtId="175" fontId="0" fillId="0" borderId="14" xfId="0" applyNumberFormat="1" applyBorder="1"/>
    <xf numFmtId="0" fontId="0" fillId="0" borderId="14" xfId="0" applyBorder="1" applyAlignment="1">
      <alignment wrapText="1"/>
    </xf>
    <xf numFmtId="0" fontId="16" fillId="11" borderId="0" xfId="0" applyFont="1" applyFill="1" applyAlignment="1">
      <alignment horizontal="center"/>
    </xf>
    <xf numFmtId="0" fontId="0" fillId="0" borderId="0" xfId="0" applyAlignment="1">
      <alignment wrapText="1"/>
    </xf>
    <xf numFmtId="0" fontId="3" fillId="0" borderId="0" xfId="0" applyFont="1" applyAlignment="1">
      <alignment horizontal="center" vertical="center"/>
    </xf>
    <xf numFmtId="10" fontId="0" fillId="7" borderId="0" xfId="0" applyNumberFormat="1" applyFill="1"/>
    <xf numFmtId="0" fontId="3" fillId="0" borderId="0" xfId="0" applyFont="1" applyAlignment="1">
      <alignment vertical="center" wrapText="1"/>
    </xf>
    <xf numFmtId="0" fontId="3" fillId="12" borderId="0" xfId="0" applyFont="1" applyFill="1"/>
    <xf numFmtId="0" fontId="0" fillId="12" borderId="0" xfId="0" applyFill="1"/>
    <xf numFmtId="0" fontId="0" fillId="0" borderId="0" xfId="0" applyAlignment="1">
      <alignment horizontal="center"/>
    </xf>
    <xf numFmtId="9" fontId="0" fillId="0" borderId="14" xfId="0" applyNumberFormat="1" applyBorder="1"/>
    <xf numFmtId="0" fontId="3" fillId="0" borderId="0" xfId="0" applyFont="1" applyAlignment="1">
      <alignment wrapText="1"/>
    </xf>
    <xf numFmtId="9" fontId="7" fillId="7" borderId="0" xfId="0" applyNumberFormat="1" applyFont="1" applyFill="1"/>
    <xf numFmtId="1" fontId="3" fillId="0" borderId="2" xfId="0" applyNumberFormat="1" applyFont="1" applyBorder="1"/>
    <xf numFmtId="176" fontId="9" fillId="0" borderId="14" xfId="2" applyNumberFormat="1" applyFont="1" applyBorder="1"/>
    <xf numFmtId="9" fontId="9" fillId="0" borderId="14" xfId="0" applyNumberFormat="1" applyFont="1" applyBorder="1"/>
    <xf numFmtId="9" fontId="18" fillId="0" borderId="2" xfId="0" applyNumberFormat="1" applyFont="1" applyBorder="1"/>
    <xf numFmtId="10" fontId="9" fillId="0" borderId="14" xfId="0" applyNumberFormat="1" applyFont="1" applyBorder="1"/>
    <xf numFmtId="166" fontId="0" fillId="0" borderId="14" xfId="0" applyNumberFormat="1" applyBorder="1"/>
    <xf numFmtId="1" fontId="3" fillId="0" borderId="14" xfId="0" applyNumberFormat="1" applyFont="1" applyBorder="1"/>
    <xf numFmtId="1" fontId="0" fillId="0" borderId="14" xfId="0" applyNumberFormat="1" applyBorder="1"/>
    <xf numFmtId="9" fontId="0" fillId="7" borderId="0" xfId="0" applyNumberFormat="1" applyFill="1"/>
    <xf numFmtId="1" fontId="0" fillId="0" borderId="15" xfId="0" applyNumberFormat="1" applyBorder="1"/>
    <xf numFmtId="9" fontId="7" fillId="7" borderId="0" xfId="2" applyFont="1" applyFill="1" applyAlignment="1">
      <alignment horizontal="right"/>
    </xf>
    <xf numFmtId="0" fontId="7" fillId="7" borderId="0" xfId="0" applyFont="1" applyFill="1" applyAlignment="1">
      <alignment horizontal="right"/>
    </xf>
    <xf numFmtId="1" fontId="0" fillId="0" borderId="11" xfId="0" applyNumberFormat="1" applyBorder="1"/>
    <xf numFmtId="1" fontId="0" fillId="0" borderId="0" xfId="0" applyNumberFormat="1"/>
    <xf numFmtId="177" fontId="0" fillId="0" borderId="0" xfId="0" applyNumberFormat="1"/>
    <xf numFmtId="0" fontId="0" fillId="8" borderId="11" xfId="0" applyFill="1" applyBorder="1"/>
    <xf numFmtId="2" fontId="0" fillId="0" borderId="11" xfId="0" applyNumberFormat="1" applyBorder="1"/>
    <xf numFmtId="0" fontId="9" fillId="0" borderId="11" xfId="0" applyFont="1" applyBorder="1"/>
    <xf numFmtId="3" fontId="19" fillId="13" borderId="0" xfId="0" applyNumberFormat="1" applyFont="1" applyFill="1" applyAlignment="1">
      <alignment horizontal="right" vertical="center" wrapText="1"/>
    </xf>
    <xf numFmtId="2" fontId="0" fillId="0" borderId="14" xfId="0" applyNumberFormat="1" applyBorder="1"/>
    <xf numFmtId="10" fontId="0" fillId="0" borderId="0" xfId="2" applyNumberFormat="1" applyFont="1" applyBorder="1"/>
    <xf numFmtId="3" fontId="3" fillId="0" borderId="0" xfId="0" applyNumberFormat="1" applyFont="1"/>
    <xf numFmtId="178" fontId="0" fillId="0" borderId="14" xfId="0" applyNumberFormat="1" applyBorder="1"/>
    <xf numFmtId="0" fontId="7" fillId="0" borderId="14" xfId="0" applyFont="1" applyBorder="1"/>
    <xf numFmtId="0" fontId="0" fillId="0" borderId="14" xfId="0" applyBorder="1" applyAlignment="1">
      <alignment horizontal="left" indent="1"/>
    </xf>
    <xf numFmtId="0" fontId="7" fillId="0" borderId="14" xfId="0" applyFont="1" applyBorder="1" applyAlignment="1">
      <alignment horizontal="left" indent="1"/>
    </xf>
    <xf numFmtId="2" fontId="0" fillId="0" borderId="14" xfId="2" applyNumberFormat="1" applyFont="1" applyBorder="1"/>
    <xf numFmtId="2" fontId="3" fillId="0" borderId="14" xfId="0" applyNumberFormat="1" applyFont="1" applyBorder="1"/>
    <xf numFmtId="0" fontId="0" fillId="6" borderId="0" xfId="0" applyFill="1"/>
    <xf numFmtId="0" fontId="4" fillId="6" borderId="0" xfId="0" applyFont="1" applyFill="1" applyAlignment="1">
      <alignment vertical="center"/>
    </xf>
    <xf numFmtId="0" fontId="4" fillId="6" borderId="0" xfId="0" applyFont="1" applyFill="1" applyAlignment="1">
      <alignment horizontal="right"/>
    </xf>
    <xf numFmtId="169" fontId="0" fillId="7" borderId="0" xfId="0" applyNumberFormat="1" applyFill="1"/>
    <xf numFmtId="0" fontId="4" fillId="0" borderId="0" xfId="0" applyFont="1" applyAlignment="1">
      <alignment vertical="center"/>
    </xf>
    <xf numFmtId="0" fontId="20" fillId="0" borderId="0" xfId="0" applyFont="1" applyAlignment="1">
      <alignment vertical="center"/>
    </xf>
    <xf numFmtId="0" fontId="4" fillId="0" borderId="0" xfId="0" applyFont="1" applyAlignment="1">
      <alignment horizontal="center"/>
    </xf>
    <xf numFmtId="0" fontId="0" fillId="7" borderId="19" xfId="0" applyFill="1" applyBorder="1"/>
    <xf numFmtId="0" fontId="0" fillId="0" borderId="19" xfId="0" applyBorder="1"/>
    <xf numFmtId="169" fontId="0" fillId="7" borderId="19" xfId="0" applyNumberFormat="1" applyFill="1" applyBorder="1"/>
    <xf numFmtId="169" fontId="0" fillId="0" borderId="19" xfId="0" applyNumberFormat="1" applyBorder="1"/>
    <xf numFmtId="0" fontId="3" fillId="7" borderId="0" xfId="0" applyFont="1" applyFill="1"/>
    <xf numFmtId="169" fontId="3" fillId="7" borderId="0" xfId="0" applyNumberFormat="1" applyFont="1" applyFill="1"/>
    <xf numFmtId="0" fontId="4" fillId="6" borderId="0" xfId="0" applyFont="1" applyFill="1" applyAlignment="1">
      <alignment horizontal="left" vertical="center"/>
    </xf>
    <xf numFmtId="0" fontId="20" fillId="6" borderId="0" xfId="0" applyFont="1" applyFill="1" applyAlignment="1">
      <alignment horizontal="left" vertical="center"/>
    </xf>
    <xf numFmtId="0" fontId="4" fillId="6" borderId="0" xfId="0" applyFont="1" applyFill="1" applyAlignment="1">
      <alignment horizontal="left"/>
    </xf>
    <xf numFmtId="0" fontId="3" fillId="7" borderId="19" xfId="0" applyFont="1" applyFill="1" applyBorder="1"/>
    <xf numFmtId="2" fontId="3" fillId="7" borderId="19" xfId="0" applyNumberFormat="1" applyFont="1" applyFill="1" applyBorder="1"/>
    <xf numFmtId="2" fontId="0" fillId="0" borderId="19" xfId="0" applyNumberFormat="1" applyBorder="1"/>
    <xf numFmtId="0" fontId="21" fillId="0" borderId="0" xfId="0" applyFont="1"/>
    <xf numFmtId="0" fontId="22" fillId="0" borderId="0" xfId="0" applyFont="1"/>
    <xf numFmtId="179" fontId="0" fillId="0" borderId="0" xfId="0" applyNumberFormat="1"/>
    <xf numFmtId="9" fontId="3" fillId="0" borderId="0" xfId="0" applyNumberFormat="1" applyFont="1"/>
    <xf numFmtId="9" fontId="3" fillId="0" borderId="0" xfId="0" applyNumberFormat="1" applyFont="1" applyAlignment="1">
      <alignment horizontal="left"/>
    </xf>
    <xf numFmtId="179" fontId="0" fillId="7" borderId="0" xfId="0" applyNumberFormat="1" applyFill="1"/>
    <xf numFmtId="43" fontId="20" fillId="0" borderId="0" xfId="0" applyNumberFormat="1" applyFont="1"/>
    <xf numFmtId="0" fontId="3" fillId="0" borderId="14" xfId="0" applyFont="1" applyBorder="1" applyAlignment="1">
      <alignment horizontal="right" vertical="center"/>
    </xf>
    <xf numFmtId="9" fontId="3" fillId="0" borderId="14" xfId="0" applyNumberFormat="1" applyFont="1" applyBorder="1" applyAlignment="1">
      <alignment horizontal="right" vertical="center"/>
    </xf>
    <xf numFmtId="0" fontId="3" fillId="0" borderId="14" xfId="0" applyFont="1" applyBorder="1" applyAlignment="1">
      <alignment horizontal="right" vertical="center" wrapText="1"/>
    </xf>
    <xf numFmtId="0" fontId="5" fillId="0" borderId="14" xfId="4" applyBorder="1" applyAlignment="1">
      <alignment horizontal="right" vertical="center"/>
    </xf>
    <xf numFmtId="0" fontId="0" fillId="0" borderId="14" xfId="0" applyBorder="1" applyAlignment="1">
      <alignment horizontal="right"/>
    </xf>
    <xf numFmtId="0" fontId="0" fillId="0" borderId="16" xfId="0" applyBorder="1" applyAlignment="1">
      <alignment vertical="center" wrapText="1"/>
    </xf>
    <xf numFmtId="0" fontId="4" fillId="14" borderId="21" xfId="0" applyFont="1" applyFill="1" applyBorder="1" applyAlignment="1">
      <alignment horizontal="left"/>
    </xf>
    <xf numFmtId="0" fontId="4" fillId="14" borderId="22" xfId="0" applyFont="1" applyFill="1" applyBorder="1"/>
    <xf numFmtId="0" fontId="0" fillId="15" borderId="21" xfId="0" applyFill="1" applyBorder="1" applyAlignment="1">
      <alignment horizontal="left"/>
    </xf>
    <xf numFmtId="10" fontId="0" fillId="15" borderId="22" xfId="2" applyNumberFormat="1" applyFont="1" applyFill="1" applyBorder="1"/>
    <xf numFmtId="0" fontId="0" fillId="0" borderId="21" xfId="0" applyBorder="1" applyAlignment="1">
      <alignment horizontal="left"/>
    </xf>
    <xf numFmtId="10" fontId="0" fillId="0" borderId="22" xfId="2" applyNumberFormat="1" applyFont="1" applyBorder="1"/>
    <xf numFmtId="0" fontId="3" fillId="0" borderId="14" xfId="0" applyFont="1" applyBorder="1" applyAlignment="1">
      <alignment horizontal="left" indent="1"/>
    </xf>
    <xf numFmtId="9" fontId="0" fillId="0" borderId="14" xfId="2" applyFont="1" applyBorder="1"/>
    <xf numFmtId="171" fontId="3" fillId="7" borderId="14" xfId="0" applyNumberFormat="1" applyFont="1" applyFill="1" applyBorder="1"/>
    <xf numFmtId="166" fontId="0" fillId="7" borderId="14" xfId="0" applyNumberFormat="1" applyFill="1" applyBorder="1"/>
    <xf numFmtId="0" fontId="0" fillId="7" borderId="14" xfId="0" applyFill="1" applyBorder="1"/>
    <xf numFmtId="9" fontId="0" fillId="7" borderId="14" xfId="2" applyFont="1" applyFill="1" applyBorder="1"/>
    <xf numFmtId="166" fontId="3" fillId="7" borderId="14" xfId="0" applyNumberFormat="1" applyFont="1" applyFill="1" applyBorder="1"/>
    <xf numFmtId="0" fontId="3" fillId="7" borderId="14" xfId="0" applyFont="1" applyFill="1" applyBorder="1"/>
    <xf numFmtId="17" fontId="4" fillId="5" borderId="0" xfId="0" applyNumberFormat="1" applyFont="1" applyFill="1" applyAlignment="1">
      <alignment horizontal="center"/>
    </xf>
    <xf numFmtId="176" fontId="0" fillId="0" borderId="0" xfId="2" applyNumberFormat="1" applyFont="1"/>
    <xf numFmtId="176" fontId="1" fillId="0" borderId="0" xfId="2" applyNumberFormat="1" applyFont="1" applyBorder="1"/>
    <xf numFmtId="176" fontId="1" fillId="0" borderId="0" xfId="1" applyNumberFormat="1" applyFont="1" applyBorder="1"/>
    <xf numFmtId="0" fontId="0" fillId="0" borderId="15" xfId="0" applyBorder="1"/>
    <xf numFmtId="0" fontId="3" fillId="0" borderId="2" xfId="0" applyFont="1" applyBorder="1" applyAlignment="1">
      <alignment horizontal="center"/>
    </xf>
    <xf numFmtId="0" fontId="3" fillId="0" borderId="15" xfId="0" applyFont="1" applyBorder="1"/>
    <xf numFmtId="1" fontId="3" fillId="0" borderId="15" xfId="0" applyNumberFormat="1" applyFont="1" applyBorder="1"/>
    <xf numFmtId="1" fontId="3" fillId="0" borderId="25" xfId="0" applyNumberFormat="1" applyFont="1" applyBorder="1"/>
    <xf numFmtId="0" fontId="0" fillId="0" borderId="26" xfId="0" applyBorder="1"/>
    <xf numFmtId="0" fontId="0" fillId="0" borderId="27" xfId="0" applyBorder="1"/>
    <xf numFmtId="43" fontId="3" fillId="0" borderId="15" xfId="1" applyFont="1" applyBorder="1"/>
    <xf numFmtId="166" fontId="0" fillId="0" borderId="15" xfId="0" applyNumberFormat="1" applyBorder="1"/>
    <xf numFmtId="9" fontId="7" fillId="7" borderId="0" xfId="0" applyNumberFormat="1" applyFont="1" applyFill="1" applyAlignment="1">
      <alignment horizontal="center"/>
    </xf>
    <xf numFmtId="1" fontId="3" fillId="0" borderId="13" xfId="0" applyNumberFormat="1" applyFont="1" applyBorder="1"/>
    <xf numFmtId="1" fontId="3" fillId="0" borderId="0" xfId="0" applyNumberFormat="1" applyFont="1"/>
    <xf numFmtId="180" fontId="3" fillId="0" borderId="13" xfId="0" applyNumberFormat="1" applyFont="1" applyBorder="1"/>
    <xf numFmtId="2" fontId="0" fillId="7" borderId="19" xfId="0" applyNumberFormat="1" applyFill="1" applyBorder="1"/>
    <xf numFmtId="0" fontId="0" fillId="0" borderId="14" xfId="0" applyBorder="1" applyAlignment="1">
      <alignment horizontal="right" vertical="center" wrapText="1"/>
    </xf>
    <xf numFmtId="0" fontId="0" fillId="0" borderId="23" xfId="0" applyBorder="1" applyAlignment="1">
      <alignment vertical="center" wrapText="1"/>
    </xf>
    <xf numFmtId="0" fontId="3" fillId="0" borderId="26" xfId="0" applyFont="1" applyBorder="1" applyAlignment="1">
      <alignment vertical="center"/>
    </xf>
    <xf numFmtId="0" fontId="3" fillId="0" borderId="2" xfId="0" applyFont="1" applyBorder="1" applyAlignment="1">
      <alignment vertical="center"/>
    </xf>
    <xf numFmtId="9" fontId="3" fillId="0" borderId="14" xfId="2" applyFont="1" applyBorder="1"/>
    <xf numFmtId="9" fontId="0" fillId="0" borderId="14" xfId="0" applyNumberFormat="1" applyBorder="1" applyAlignment="1">
      <alignment horizontal="right"/>
    </xf>
    <xf numFmtId="0" fontId="0" fillId="0" borderId="14" xfId="0" quotePrefix="1" applyBorder="1" applyAlignment="1">
      <alignment horizontal="right"/>
    </xf>
    <xf numFmtId="0" fontId="0" fillId="0" borderId="0" xfId="0" applyAlignment="1">
      <alignment vertical="center" wrapText="1"/>
    </xf>
    <xf numFmtId="0" fontId="7" fillId="0" borderId="0" xfId="0" applyFont="1" applyAlignment="1">
      <alignment wrapText="1"/>
    </xf>
    <xf numFmtId="0" fontId="3" fillId="0" borderId="0" xfId="0" applyFont="1" applyAlignment="1">
      <alignment horizontal="right" wrapText="1"/>
    </xf>
    <xf numFmtId="181" fontId="0" fillId="0" borderId="7" xfId="0" applyNumberFormat="1" applyBorder="1"/>
    <xf numFmtId="181" fontId="3" fillId="0" borderId="7" xfId="0" applyNumberFormat="1" applyFont="1" applyBorder="1"/>
    <xf numFmtId="181" fontId="0" fillId="0" borderId="0" xfId="0" applyNumberFormat="1"/>
    <xf numFmtId="181" fontId="3" fillId="0" borderId="12" xfId="0" applyNumberFormat="1" applyFont="1" applyBorder="1"/>
    <xf numFmtId="181" fontId="3" fillId="0" borderId="11" xfId="0" applyNumberFormat="1" applyFont="1" applyBorder="1"/>
    <xf numFmtId="0" fontId="3" fillId="8" borderId="12" xfId="0" applyFont="1" applyFill="1" applyBorder="1"/>
    <xf numFmtId="10" fontId="3" fillId="8" borderId="12" xfId="2" applyNumberFormat="1" applyFont="1" applyFill="1" applyBorder="1"/>
    <xf numFmtId="9" fontId="9" fillId="0" borderId="0" xfId="2" applyFont="1"/>
    <xf numFmtId="0" fontId="3" fillId="8" borderId="28" xfId="0" applyFont="1" applyFill="1" applyBorder="1"/>
    <xf numFmtId="10" fontId="0" fillId="8" borderId="29" xfId="0" applyNumberFormat="1" applyFill="1" applyBorder="1"/>
    <xf numFmtId="0" fontId="3" fillId="8" borderId="30" xfId="0" applyFont="1" applyFill="1" applyBorder="1"/>
    <xf numFmtId="10" fontId="0" fillId="8" borderId="31" xfId="0" applyNumberFormat="1" applyFill="1" applyBorder="1"/>
    <xf numFmtId="10" fontId="3" fillId="8" borderId="12" xfId="0" applyNumberFormat="1" applyFont="1" applyFill="1" applyBorder="1"/>
    <xf numFmtId="0" fontId="0" fillId="0" borderId="11" xfId="0" applyBorder="1" applyAlignment="1">
      <alignment horizontal="left"/>
    </xf>
    <xf numFmtId="0" fontId="7" fillId="0" borderId="0" xfId="0" applyFont="1" applyAlignment="1">
      <alignment horizontal="left" indent="1"/>
    </xf>
    <xf numFmtId="0" fontId="3" fillId="0" borderId="14" xfId="0" applyFont="1" applyBorder="1" applyAlignment="1">
      <alignment horizontal="center" wrapText="1"/>
    </xf>
    <xf numFmtId="0" fontId="0" fillId="0" borderId="23" xfId="0" applyBorder="1"/>
    <xf numFmtId="176" fontId="3" fillId="0" borderId="17" xfId="2" applyNumberFormat="1" applyFont="1" applyBorder="1"/>
    <xf numFmtId="0" fontId="3" fillId="0" borderId="2" xfId="0" applyFont="1" applyBorder="1" applyAlignment="1">
      <alignment horizontal="center" wrapText="1"/>
    </xf>
    <xf numFmtId="9" fontId="3" fillId="0" borderId="14" xfId="0" applyNumberFormat="1" applyFont="1" applyBorder="1"/>
    <xf numFmtId="0" fontId="3" fillId="0" borderId="14" xfId="0" applyFont="1" applyBorder="1" applyAlignment="1">
      <alignment horizontal="right"/>
    </xf>
    <xf numFmtId="9" fontId="3" fillId="0" borderId="14" xfId="0" applyNumberFormat="1" applyFont="1" applyBorder="1" applyAlignment="1">
      <alignment horizontal="center"/>
    </xf>
    <xf numFmtId="0" fontId="3" fillId="0" borderId="14" xfId="0" applyFont="1" applyBorder="1" applyAlignment="1">
      <alignment horizontal="center"/>
    </xf>
    <xf numFmtId="0" fontId="3" fillId="0" borderId="24" xfId="0" applyFont="1" applyBorder="1" applyAlignment="1">
      <alignment horizontal="center" vertical="center" wrapText="1"/>
    </xf>
    <xf numFmtId="0" fontId="3" fillId="0" borderId="17" xfId="0" applyFont="1" applyBorder="1" applyAlignment="1">
      <alignment horizontal="center" vertical="center" wrapText="1"/>
    </xf>
    <xf numFmtId="9" fontId="0" fillId="0" borderId="15" xfId="0" applyNumberFormat="1" applyBorder="1" applyAlignment="1">
      <alignment horizontal="center"/>
    </xf>
    <xf numFmtId="9" fontId="0" fillId="0" borderId="26" xfId="0" applyNumberFormat="1" applyBorder="1" applyAlignment="1">
      <alignment horizontal="center"/>
    </xf>
    <xf numFmtId="0" fontId="3" fillId="7" borderId="14" xfId="0" applyFont="1" applyFill="1" applyBorder="1" applyAlignment="1">
      <alignment horizontal="center" vertical="center"/>
    </xf>
    <xf numFmtId="0" fontId="11" fillId="0" borderId="0" xfId="0" applyFont="1" applyAlignment="1">
      <alignment horizontal="center"/>
    </xf>
    <xf numFmtId="0" fontId="3" fillId="0" borderId="0" xfId="0" applyFont="1" applyAlignment="1">
      <alignment horizontal="center"/>
    </xf>
    <xf numFmtId="0" fontId="3" fillId="0" borderId="0" xfId="0" applyFont="1" applyAlignment="1">
      <alignment horizontal="center" vertical="center" wrapText="1"/>
    </xf>
    <xf numFmtId="0" fontId="3" fillId="8" borderId="14" xfId="0" applyFont="1" applyFill="1" applyBorder="1" applyAlignment="1">
      <alignment horizontal="center" vertical="center" wrapText="1"/>
    </xf>
    <xf numFmtId="0" fontId="17" fillId="0" borderId="0" xfId="0" applyFont="1" applyAlignment="1">
      <alignment horizontal="center" wrapText="1"/>
    </xf>
    <xf numFmtId="0" fontId="4" fillId="5" borderId="0" xfId="0" applyFont="1" applyFill="1" applyAlignment="1">
      <alignment horizontal="center"/>
    </xf>
    <xf numFmtId="0" fontId="7" fillId="9" borderId="0" xfId="0" applyFont="1" applyFill="1" applyAlignment="1">
      <alignment horizontal="center"/>
    </xf>
    <xf numFmtId="0" fontId="4" fillId="6" borderId="0" xfId="0" applyFont="1" applyFill="1" applyAlignment="1">
      <alignment horizontal="center"/>
    </xf>
    <xf numFmtId="0" fontId="3" fillId="0" borderId="11" xfId="0" applyFont="1" applyBorder="1" applyAlignment="1">
      <alignment horizontal="center"/>
    </xf>
    <xf numFmtId="0" fontId="4" fillId="6" borderId="0" xfId="0" applyFont="1" applyFill="1" applyAlignment="1">
      <alignment horizontal="left"/>
    </xf>
    <xf numFmtId="0" fontId="23" fillId="0" borderId="20" xfId="0" applyFont="1" applyBorder="1" applyAlignment="1">
      <alignment horizontal="center" vertical="center" textRotation="90"/>
    </xf>
    <xf numFmtId="0" fontId="4" fillId="6" borderId="18" xfId="0" applyFont="1" applyFill="1" applyBorder="1" applyAlignment="1">
      <alignment horizontal="center"/>
    </xf>
    <xf numFmtId="43" fontId="5" fillId="0" borderId="0" xfId="4" applyNumberFormat="1" applyBorder="1" applyAlignment="1" applyProtection="1">
      <alignment horizontal="center"/>
    </xf>
    <xf numFmtId="43" fontId="4" fillId="2" borderId="0" xfId="3" applyNumberFormat="1" applyFont="1" applyBorder="1" applyAlignment="1">
      <alignment horizontal="center"/>
    </xf>
  </cellXfs>
  <cellStyles count="5">
    <cellStyle name="Accent6" xfId="3" builtinId="49"/>
    <cellStyle name="Comma" xfId="1" builtinId="3"/>
    <cellStyle name="Hyperlink" xfId="4" builtinId="8"/>
    <cellStyle name="Normal" xfId="0" builtinId="0"/>
    <cellStyle name="Percent" xfId="2" builtinId="5"/>
  </cellStyles>
  <dxfs count="1">
    <dxf>
      <font>
        <b/>
        <i val="0"/>
        <color theme="0"/>
      </font>
      <fill>
        <patternFill>
          <bgColor theme="5"/>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Array" Target="richData/rdarray.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 Id="rId30" Type="http://schemas.microsoft.com/office/2017/06/relationships/rdSupportingPropertyBagStructure" Target="richData/rdsupportingpropertybagstructure.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rgbClr val="002060"/>
                </a:solidFill>
              </a:rPr>
              <a:t>Football</a:t>
            </a:r>
            <a:r>
              <a:rPr lang="en-IN" b="1" baseline="0">
                <a:solidFill>
                  <a:srgbClr val="002060"/>
                </a:solidFill>
              </a:rPr>
              <a:t> Field Analysis - Valuation summary (Rs)</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tockChart>
        <c:ser>
          <c:idx val="0"/>
          <c:order val="0"/>
          <c:spPr>
            <a:ln w="19050" cap="rnd">
              <a:noFill/>
              <a:round/>
            </a:ln>
            <a:effectLst/>
          </c:spPr>
          <c:marker>
            <c:symbol val="none"/>
          </c:marker>
          <c:cat>
            <c:strRef>
              <c:f>'Football Field Analysis'!$L$6:$L$10</c:f>
              <c:strCache>
                <c:ptCount val="5"/>
                <c:pt idx="0">
                  <c:v>Comps</c:v>
                </c:pt>
                <c:pt idx="1">
                  <c:v>DCF Bear</c:v>
                </c:pt>
                <c:pt idx="2">
                  <c:v>DCF Base</c:v>
                </c:pt>
                <c:pt idx="3">
                  <c:v>DCF Bull</c:v>
                </c:pt>
                <c:pt idx="4">
                  <c:v>52W H/L</c:v>
                </c:pt>
              </c:strCache>
            </c:strRef>
          </c:cat>
          <c:val>
            <c:numRef>
              <c:f>'Football Field Analysis'!$N$6:$N$10</c:f>
              <c:numCache>
                <c:formatCode>#,##0.00</c:formatCode>
                <c:ptCount val="5"/>
                <c:pt idx="0">
                  <c:v>1513.0020781373244</c:v>
                </c:pt>
                <c:pt idx="1">
                  <c:v>226.64819370488306</c:v>
                </c:pt>
                <c:pt idx="2">
                  <c:v>478.66802570702947</c:v>
                </c:pt>
                <c:pt idx="3">
                  <c:v>694.73917924867771</c:v>
                </c:pt>
                <c:pt idx="4">
                  <c:v>2115</c:v>
                </c:pt>
              </c:numCache>
            </c:numRef>
          </c:val>
          <c:smooth val="0"/>
          <c:extLst>
            <c:ext xmlns:c16="http://schemas.microsoft.com/office/drawing/2014/chart" uri="{C3380CC4-5D6E-409C-BE32-E72D297353CC}">
              <c16:uniqueId val="{00000000-8D79-4245-982D-A0042E675E06}"/>
            </c:ext>
          </c:extLst>
        </c:ser>
        <c:ser>
          <c:idx val="1"/>
          <c:order val="1"/>
          <c:spPr>
            <a:ln w="19050" cap="rnd">
              <a:noFill/>
              <a:round/>
            </a:ln>
            <a:effectLst/>
          </c:spPr>
          <c:marker>
            <c:symbol val="none"/>
          </c:marker>
          <c:dLbls>
            <c:dLbl>
              <c:idx val="1"/>
              <c:layout>
                <c:manualLayout>
                  <c:x val="-6.759033245844269E-2"/>
                  <c:y val="3.4687591134441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79-4245-982D-A0042E675E06}"/>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Analysis'!$L$6:$L$10</c:f>
              <c:strCache>
                <c:ptCount val="5"/>
                <c:pt idx="0">
                  <c:v>Comps</c:v>
                </c:pt>
                <c:pt idx="1">
                  <c:v>DCF Bear</c:v>
                </c:pt>
                <c:pt idx="2">
                  <c:v>DCF Base</c:v>
                </c:pt>
                <c:pt idx="3">
                  <c:v>DCF Bull</c:v>
                </c:pt>
                <c:pt idx="4">
                  <c:v>52W H/L</c:v>
                </c:pt>
              </c:strCache>
            </c:strRef>
          </c:cat>
          <c:val>
            <c:numRef>
              <c:f>'Football Field Analysis'!$O$6:$O$10</c:f>
              <c:numCache>
                <c:formatCode>#,##0.00</c:formatCode>
                <c:ptCount val="5"/>
                <c:pt idx="0">
                  <c:v>1513.0020781373244</c:v>
                </c:pt>
                <c:pt idx="1">
                  <c:v>308.93302152408916</c:v>
                </c:pt>
                <c:pt idx="2">
                  <c:v>478.66802570702947</c:v>
                </c:pt>
                <c:pt idx="3">
                  <c:v>694.73917924867771</c:v>
                </c:pt>
                <c:pt idx="4">
                  <c:v>2115</c:v>
                </c:pt>
              </c:numCache>
            </c:numRef>
          </c:val>
          <c:smooth val="0"/>
          <c:extLst>
            <c:ext xmlns:c16="http://schemas.microsoft.com/office/drawing/2014/chart" uri="{C3380CC4-5D6E-409C-BE32-E72D297353CC}">
              <c16:uniqueId val="{00000001-8D79-4245-982D-A0042E675E06}"/>
            </c:ext>
          </c:extLst>
        </c:ser>
        <c:ser>
          <c:idx val="2"/>
          <c:order val="2"/>
          <c:spPr>
            <a:ln w="19050" cap="rnd">
              <a:noFill/>
              <a:round/>
            </a:ln>
            <a:effectLst/>
          </c:spPr>
          <c:marker>
            <c:symbol val="none"/>
          </c:marker>
          <c:cat>
            <c:strRef>
              <c:f>'Football Field Analysis'!$L$6:$L$10</c:f>
              <c:strCache>
                <c:ptCount val="5"/>
                <c:pt idx="0">
                  <c:v>Comps</c:v>
                </c:pt>
                <c:pt idx="1">
                  <c:v>DCF Bear</c:v>
                </c:pt>
                <c:pt idx="2">
                  <c:v>DCF Base</c:v>
                </c:pt>
                <c:pt idx="3">
                  <c:v>DCF Bull</c:v>
                </c:pt>
                <c:pt idx="4">
                  <c:v>52W H/L</c:v>
                </c:pt>
              </c:strCache>
            </c:strRef>
          </c:cat>
          <c:val>
            <c:numRef>
              <c:f>'Football Field Analysis'!$P$6:$P$10</c:f>
              <c:numCache>
                <c:formatCode>#,##0.00</c:formatCode>
                <c:ptCount val="5"/>
                <c:pt idx="0">
                  <c:v>1844.6918568140613</c:v>
                </c:pt>
                <c:pt idx="1">
                  <c:v>284.93297708118075</c:v>
                </c:pt>
                <c:pt idx="2">
                  <c:v>1029.0813705960402</c:v>
                </c:pt>
                <c:pt idx="3">
                  <c:v>4141.4803360314845</c:v>
                </c:pt>
                <c:pt idx="4">
                  <c:v>2985.7</c:v>
                </c:pt>
              </c:numCache>
            </c:numRef>
          </c:val>
          <c:smooth val="0"/>
          <c:extLst>
            <c:ext xmlns:c16="http://schemas.microsoft.com/office/drawing/2014/chart" uri="{C3380CC4-5D6E-409C-BE32-E72D297353CC}">
              <c16:uniqueId val="{00000002-8D79-4245-982D-A0042E675E06}"/>
            </c:ext>
          </c:extLst>
        </c:ser>
        <c:ser>
          <c:idx val="3"/>
          <c:order val="3"/>
          <c:spPr>
            <a:ln w="1905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Analysis'!$L$6:$L$10</c:f>
              <c:strCache>
                <c:ptCount val="5"/>
                <c:pt idx="0">
                  <c:v>Comps</c:v>
                </c:pt>
                <c:pt idx="1">
                  <c:v>DCF Bear</c:v>
                </c:pt>
                <c:pt idx="2">
                  <c:v>DCF Base</c:v>
                </c:pt>
                <c:pt idx="3">
                  <c:v>DCF Bull</c:v>
                </c:pt>
                <c:pt idx="4">
                  <c:v>52W H/L</c:v>
                </c:pt>
              </c:strCache>
            </c:strRef>
          </c:cat>
          <c:val>
            <c:numRef>
              <c:f>'Football Field Analysis'!$Q$6:$Q$10</c:f>
              <c:numCache>
                <c:formatCode>#,##0.00</c:formatCode>
                <c:ptCount val="5"/>
                <c:pt idx="0">
                  <c:v>1844.6918568140613</c:v>
                </c:pt>
                <c:pt idx="1">
                  <c:v>390.64509504246632</c:v>
                </c:pt>
                <c:pt idx="2">
                  <c:v>1029.0813705960402</c:v>
                </c:pt>
                <c:pt idx="3">
                  <c:v>4141.4803360314845</c:v>
                </c:pt>
                <c:pt idx="4">
                  <c:v>2985.7</c:v>
                </c:pt>
              </c:numCache>
            </c:numRef>
          </c:val>
          <c:smooth val="0"/>
          <c:extLst>
            <c:ext xmlns:c16="http://schemas.microsoft.com/office/drawing/2014/chart" uri="{C3380CC4-5D6E-409C-BE32-E72D297353CC}">
              <c16:uniqueId val="{00000003-8D79-4245-982D-A0042E675E06}"/>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911870399"/>
        <c:axId val="715680015"/>
      </c:stockChart>
      <c:catAx>
        <c:axId val="91187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680015"/>
        <c:crosses val="autoZero"/>
        <c:auto val="1"/>
        <c:lblAlgn val="ctr"/>
        <c:lblOffset val="100"/>
        <c:noMultiLvlLbl val="0"/>
      </c:catAx>
      <c:valAx>
        <c:axId val="715680015"/>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703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1</xdr:col>
      <xdr:colOff>304800</xdr:colOff>
      <xdr:row>36</xdr:row>
      <xdr:rowOff>121921</xdr:rowOff>
    </xdr:to>
    <xdr:sp macro="" textlink="">
      <xdr:nvSpPr>
        <xdr:cNvPr id="12291" name="AutoShape 3" descr="India Real Estate Market Size &amp; Outlook, 2033">
          <a:extLst>
            <a:ext uri="{FF2B5EF4-FFF2-40B4-BE49-F238E27FC236}">
              <a16:creationId xmlns:a16="http://schemas.microsoft.com/office/drawing/2014/main" id="{ED87E6FC-28A2-644A-BC66-DEA83E95EE49}"/>
            </a:ext>
          </a:extLst>
        </xdr:cNvPr>
        <xdr:cNvSpPr>
          <a:spLocks noChangeAspect="1" noChangeArrowheads="1"/>
        </xdr:cNvSpPr>
      </xdr:nvSpPr>
      <xdr:spPr bwMode="auto">
        <a:xfrm>
          <a:off x="609600" y="6766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229870</xdr:colOff>
      <xdr:row>35</xdr:row>
      <xdr:rowOff>54942</xdr:rowOff>
    </xdr:from>
    <xdr:to>
      <xdr:col>6</xdr:col>
      <xdr:colOff>275933</xdr:colOff>
      <xdr:row>46</xdr:row>
      <xdr:rowOff>118404</xdr:rowOff>
    </xdr:to>
    <xdr:pic>
      <xdr:nvPicPr>
        <xdr:cNvPr id="5" name="Picture 4">
          <a:extLst>
            <a:ext uri="{FF2B5EF4-FFF2-40B4-BE49-F238E27FC236}">
              <a16:creationId xmlns:a16="http://schemas.microsoft.com/office/drawing/2014/main" id="{79252F28-C12F-C987-E586-8DAFA7C75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96037" y="9664609"/>
          <a:ext cx="4337049" cy="2042545"/>
        </a:xfrm>
        <a:prstGeom prst="rect">
          <a:avLst/>
        </a:prstGeom>
      </xdr:spPr>
    </xdr:pic>
    <xdr:clientData/>
  </xdr:twoCellAnchor>
  <xdr:twoCellAnchor editAs="oneCell">
    <xdr:from>
      <xdr:col>1</xdr:col>
      <xdr:colOff>32109</xdr:colOff>
      <xdr:row>51</xdr:row>
      <xdr:rowOff>173946</xdr:rowOff>
    </xdr:from>
    <xdr:to>
      <xdr:col>3</xdr:col>
      <xdr:colOff>27656</xdr:colOff>
      <xdr:row>60</xdr:row>
      <xdr:rowOff>35559</xdr:rowOff>
    </xdr:to>
    <xdr:pic>
      <xdr:nvPicPr>
        <xdr:cNvPr id="7" name="Picture 6">
          <a:extLst>
            <a:ext uri="{FF2B5EF4-FFF2-40B4-BE49-F238E27FC236}">
              <a16:creationId xmlns:a16="http://schemas.microsoft.com/office/drawing/2014/main" id="{8F5EE37E-963A-480D-4A92-F5A5319674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709" y="10049466"/>
          <a:ext cx="3854092" cy="1873293"/>
        </a:xfrm>
        <a:prstGeom prst="rect">
          <a:avLst/>
        </a:prstGeom>
      </xdr:spPr>
    </xdr:pic>
    <xdr:clientData/>
  </xdr:twoCellAnchor>
  <xdr:twoCellAnchor editAs="oneCell">
    <xdr:from>
      <xdr:col>6</xdr:col>
      <xdr:colOff>1181100</xdr:colOff>
      <xdr:row>57</xdr:row>
      <xdr:rowOff>83820</xdr:rowOff>
    </xdr:from>
    <xdr:to>
      <xdr:col>9</xdr:col>
      <xdr:colOff>151554</xdr:colOff>
      <xdr:row>63</xdr:row>
      <xdr:rowOff>57150</xdr:rowOff>
    </xdr:to>
    <xdr:pic>
      <xdr:nvPicPr>
        <xdr:cNvPr id="9" name="Picture 8">
          <a:extLst>
            <a:ext uri="{FF2B5EF4-FFF2-40B4-BE49-F238E27FC236}">
              <a16:creationId xmlns:a16="http://schemas.microsoft.com/office/drawing/2014/main" id="{DC25271C-C9F3-5ADF-9A5C-9502A7BF99C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71160" y="11239500"/>
          <a:ext cx="3238500" cy="1619250"/>
        </a:xfrm>
        <a:prstGeom prst="rect">
          <a:avLst/>
        </a:prstGeom>
      </xdr:spPr>
    </xdr:pic>
    <xdr:clientData/>
  </xdr:twoCellAnchor>
  <xdr:twoCellAnchor editAs="oneCell">
    <xdr:from>
      <xdr:col>1</xdr:col>
      <xdr:colOff>65738</xdr:colOff>
      <xdr:row>64</xdr:row>
      <xdr:rowOff>40105</xdr:rowOff>
    </xdr:from>
    <xdr:to>
      <xdr:col>2</xdr:col>
      <xdr:colOff>420374</xdr:colOff>
      <xdr:row>73</xdr:row>
      <xdr:rowOff>17710</xdr:rowOff>
    </xdr:to>
    <xdr:pic>
      <xdr:nvPicPr>
        <xdr:cNvPr id="4" name="Picture 3">
          <a:extLst>
            <a:ext uri="{FF2B5EF4-FFF2-40B4-BE49-F238E27FC236}">
              <a16:creationId xmlns:a16="http://schemas.microsoft.com/office/drawing/2014/main" id="{FDD320D6-41E1-3FAC-C4F7-5A1B545B5BE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5338" y="12954000"/>
          <a:ext cx="3571363" cy="2006932"/>
        </a:xfrm>
        <a:prstGeom prst="rect">
          <a:avLst/>
        </a:prstGeom>
      </xdr:spPr>
    </xdr:pic>
    <xdr:clientData/>
  </xdr:twoCellAnchor>
  <xdr:twoCellAnchor editAs="oneCell">
    <xdr:from>
      <xdr:col>5</xdr:col>
      <xdr:colOff>28222</xdr:colOff>
      <xdr:row>141</xdr:row>
      <xdr:rowOff>98777</xdr:rowOff>
    </xdr:from>
    <xdr:to>
      <xdr:col>10</xdr:col>
      <xdr:colOff>528849</xdr:colOff>
      <xdr:row>142</xdr:row>
      <xdr:rowOff>371235</xdr:rowOff>
    </xdr:to>
    <xdr:pic>
      <xdr:nvPicPr>
        <xdr:cNvPr id="8" name="Picture 7">
          <a:extLst>
            <a:ext uri="{FF2B5EF4-FFF2-40B4-BE49-F238E27FC236}">
              <a16:creationId xmlns:a16="http://schemas.microsoft.com/office/drawing/2014/main" id="{890B6E97-595B-63C0-63AB-CAD941ED2A9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940778" y="36787666"/>
          <a:ext cx="6830378" cy="819264"/>
        </a:xfrm>
        <a:prstGeom prst="rect">
          <a:avLst/>
        </a:prstGeom>
      </xdr:spPr>
    </xdr:pic>
    <xdr:clientData/>
  </xdr:twoCellAnchor>
  <xdr:twoCellAnchor editAs="oneCell">
    <xdr:from>
      <xdr:col>5</xdr:col>
      <xdr:colOff>0</xdr:colOff>
      <xdr:row>145</xdr:row>
      <xdr:rowOff>0</xdr:rowOff>
    </xdr:from>
    <xdr:to>
      <xdr:col>10</xdr:col>
      <xdr:colOff>348206</xdr:colOff>
      <xdr:row>146</xdr:row>
      <xdr:rowOff>1302511</xdr:rowOff>
    </xdr:to>
    <xdr:pic>
      <xdr:nvPicPr>
        <xdr:cNvPr id="10" name="Picture 9">
          <a:extLst>
            <a:ext uri="{FF2B5EF4-FFF2-40B4-BE49-F238E27FC236}">
              <a16:creationId xmlns:a16="http://schemas.microsoft.com/office/drawing/2014/main" id="{AD8E81CA-78D4-EE40-F9C5-88A47CDB1B4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912556" y="38156444"/>
          <a:ext cx="6677957" cy="2934109"/>
        </a:xfrm>
        <a:prstGeom prst="rect">
          <a:avLst/>
        </a:prstGeom>
      </xdr:spPr>
    </xdr:pic>
    <xdr:clientData/>
  </xdr:twoCellAnchor>
  <xdr:twoCellAnchor editAs="oneCell">
    <xdr:from>
      <xdr:col>0</xdr:col>
      <xdr:colOff>603253</xdr:colOff>
      <xdr:row>35</xdr:row>
      <xdr:rowOff>63500</xdr:rowOff>
    </xdr:from>
    <xdr:to>
      <xdr:col>2</xdr:col>
      <xdr:colOff>71634</xdr:colOff>
      <xdr:row>40</xdr:row>
      <xdr:rowOff>169335</xdr:rowOff>
    </xdr:to>
    <xdr:pic>
      <xdr:nvPicPr>
        <xdr:cNvPr id="12" name="Picture 11">
          <a:extLst>
            <a:ext uri="{FF2B5EF4-FFF2-40B4-BE49-F238E27FC236}">
              <a16:creationId xmlns:a16="http://schemas.microsoft.com/office/drawing/2014/main" id="{1EC1C26F-DBAD-FB57-8F6E-8D998ECEC2B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3253" y="9673167"/>
          <a:ext cx="3299548" cy="1005418"/>
        </a:xfrm>
        <a:prstGeom prst="rect">
          <a:avLst/>
        </a:prstGeom>
      </xdr:spPr>
    </xdr:pic>
    <xdr:clientData/>
  </xdr:twoCellAnchor>
  <xdr:twoCellAnchor editAs="oneCell">
    <xdr:from>
      <xdr:col>7</xdr:col>
      <xdr:colOff>10438</xdr:colOff>
      <xdr:row>36</xdr:row>
      <xdr:rowOff>114821</xdr:rowOff>
    </xdr:from>
    <xdr:to>
      <xdr:col>11</xdr:col>
      <xdr:colOff>204909</xdr:colOff>
      <xdr:row>39</xdr:row>
      <xdr:rowOff>62184</xdr:rowOff>
    </xdr:to>
    <xdr:pic>
      <xdr:nvPicPr>
        <xdr:cNvPr id="2" name="Picture 1">
          <a:extLst>
            <a:ext uri="{FF2B5EF4-FFF2-40B4-BE49-F238E27FC236}">
              <a16:creationId xmlns:a16="http://schemas.microsoft.com/office/drawing/2014/main" id="{428B6AA5-34D4-895A-DF8E-3BF0F4B40118}"/>
            </a:ext>
          </a:extLst>
        </xdr:cNvPr>
        <xdr:cNvPicPr>
          <a:picLocks noChangeAspect="1"/>
        </xdr:cNvPicPr>
      </xdr:nvPicPr>
      <xdr:blipFill>
        <a:blip xmlns:r="http://schemas.openxmlformats.org/officeDocument/2006/relationships" r:embed="rId8"/>
        <a:stretch>
          <a:fillRect/>
        </a:stretch>
      </xdr:blipFill>
      <xdr:spPr>
        <a:xfrm>
          <a:off x="9822493" y="10135643"/>
          <a:ext cx="5465841" cy="511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586740</xdr:colOff>
      <xdr:row>2</xdr:row>
      <xdr:rowOff>171450</xdr:rowOff>
    </xdr:from>
    <xdr:to>
      <xdr:col>9</xdr:col>
      <xdr:colOff>281940</xdr:colOff>
      <xdr:row>17</xdr:row>
      <xdr:rowOff>171450</xdr:rowOff>
    </xdr:to>
    <xdr:graphicFrame macro="">
      <xdr:nvGraphicFramePr>
        <xdr:cNvPr id="2" name="Chart 1">
          <a:extLst>
            <a:ext uri="{FF2B5EF4-FFF2-40B4-BE49-F238E27FC236}">
              <a16:creationId xmlns:a16="http://schemas.microsoft.com/office/drawing/2014/main" id="{78E805BB-AA72-DE03-3450-2125BA80C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403860</xdr:colOff>
      <xdr:row>9</xdr:row>
      <xdr:rowOff>129540</xdr:rowOff>
    </xdr:from>
    <xdr:to>
      <xdr:col>8</xdr:col>
      <xdr:colOff>563880</xdr:colOff>
      <xdr:row>9</xdr:row>
      <xdr:rowOff>129540</xdr:rowOff>
    </xdr:to>
    <xdr:cxnSp macro="">
      <xdr:nvCxnSpPr>
        <xdr:cNvPr id="4" name="Straight Connector 3">
          <a:extLst>
            <a:ext uri="{FF2B5EF4-FFF2-40B4-BE49-F238E27FC236}">
              <a16:creationId xmlns:a16="http://schemas.microsoft.com/office/drawing/2014/main" id="{F445DFF3-5E91-BFA9-8A07-C223E683D83F}"/>
            </a:ext>
          </a:extLst>
        </xdr:cNvPr>
        <xdr:cNvCxnSpPr/>
      </xdr:nvCxnSpPr>
      <xdr:spPr>
        <a:xfrm>
          <a:off x="1143000" y="1775460"/>
          <a:ext cx="3817620" cy="0"/>
        </a:xfrm>
        <a:prstGeom prst="line">
          <a:avLst/>
        </a:prstGeom>
        <a:ln w="12700">
          <a:solidFill>
            <a:schemeClr val="accent2">
              <a:lumMod val="60000"/>
              <a:lumOff val="4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UltraTech%20Cem%20(1).xlsx" TargetMode="External"/><Relationship Id="rId2" Type="http://schemas.openxmlformats.org/officeDocument/2006/relationships/externalLinkPath" Target="file:///C:\Users\Santosh%20Pathak\Downloads\UltraTech%20Cem%20(1).xlsx" TargetMode="External"/><Relationship Id="rId1" Type="http://schemas.openxmlformats.org/officeDocument/2006/relationships/externalLinkPath" Target="/Users/Santosh%20Pathak/Downloads/UltraTech%20Cem%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fit &amp; Loss"/>
      <sheetName val="Quarters"/>
      <sheetName val="Balance Sheet"/>
      <sheetName val="Cash Flow"/>
      <sheetName val="Customization"/>
      <sheetName val="Data Sheet"/>
    </sheetNames>
    <sheetDataSet>
      <sheetData sheetId="0"/>
      <sheetData sheetId="1"/>
      <sheetData sheetId="2"/>
      <sheetData sheetId="3"/>
      <sheetData sheetId="4"/>
      <sheetData sheetId="5">
        <row r="1">
          <cell r="E1" t="str">
            <v/>
          </cell>
        </row>
      </sheetData>
    </sheetDataSet>
  </externalBook>
</externalLink>
</file>

<file path=xl/persons/person.xml><?xml version="1.0" encoding="utf-8"?>
<personList xmlns="http://schemas.microsoft.com/office/spreadsheetml/2018/threadedcomments" xmlns:x="http://schemas.openxmlformats.org/spreadsheetml/2006/main">
  <person displayName="Krishi Pathak" id="{3B0C21C4-2E88-45E0-878F-EB78C3B9C7CE}" userId="S::krishi_pathak.mba25@krea.ac.in::5523b6a4-ab14-4cc7-afed-ddb8ce8825b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9">
  <a r="1" c="262">
    <v t="i">1</v>
    <v t="i">8</v>
    <v t="i">15</v>
    <v t="i">22</v>
    <v t="i">29</v>
    <v t="i">36</v>
    <v t="i">43</v>
    <v t="i">50</v>
    <v t="i">57</v>
    <v t="i">64</v>
    <v t="i">71</v>
    <v t="i">78</v>
    <v t="i">85</v>
    <v t="i">92</v>
    <v t="i">99</v>
    <v t="i">106</v>
    <v t="i">113</v>
    <v t="i">120</v>
    <v t="i">127</v>
    <v t="i">134</v>
    <v t="i">141</v>
    <v t="i">148</v>
    <v t="i">155</v>
    <v t="i">162</v>
    <v t="i">169</v>
    <v t="i">176</v>
    <v t="i">183</v>
    <v t="i">190</v>
    <v t="i">197</v>
    <v t="i">204</v>
    <v t="i">211</v>
    <v t="i">218</v>
    <v t="i">225</v>
    <v t="i">232</v>
    <v t="i">239</v>
    <v t="i">246</v>
    <v t="i">253</v>
    <v t="i">260</v>
    <v t="i">267</v>
    <v t="i">274</v>
    <v t="i">281</v>
    <v t="i">288</v>
    <v t="i">295</v>
    <v t="i">302</v>
    <v t="i">309</v>
    <v t="i">316</v>
    <v t="i">323</v>
    <v t="i">330</v>
    <v t="i">337</v>
    <v t="i">344</v>
    <v t="i">351</v>
    <v t="i">358</v>
    <v t="i">365</v>
    <v t="i">372</v>
    <v t="i">379</v>
    <v t="i">386</v>
    <v t="i">394</v>
    <v t="i">400</v>
    <v t="i">407</v>
    <v t="i">414</v>
    <v t="i">421</v>
    <v t="i">428</v>
    <v t="i">435</v>
    <v t="i">442</v>
    <v t="i">449</v>
    <v t="i">456</v>
    <v t="i">463</v>
    <v t="i">470</v>
    <v t="i">477</v>
    <v t="i">484</v>
    <v t="i">491</v>
    <v t="i">498</v>
    <v t="i">505</v>
    <v t="i">512</v>
    <v t="i">519</v>
    <v t="i">526</v>
    <v t="i">533</v>
    <v t="i">540</v>
    <v t="i">547</v>
    <v t="i">554</v>
    <v t="i">561</v>
    <v t="i">568</v>
    <v t="i">575</v>
    <v t="i">582</v>
    <v t="i">589</v>
    <v t="i">596</v>
    <v t="i">603</v>
    <v t="i">610</v>
    <v t="i">617</v>
    <v t="i">624</v>
    <v t="i">631</v>
    <v t="i">638</v>
    <v t="i">645</v>
    <v t="i">653</v>
    <v t="i">659</v>
    <v t="i">666</v>
    <v t="i">673</v>
    <v t="i">680</v>
    <v t="i">687</v>
    <v t="i">694</v>
    <v t="i">701</v>
    <v t="i">708</v>
    <v t="i">715</v>
    <v t="i">722</v>
    <v t="i">729</v>
    <v t="i">736</v>
    <v t="i">743</v>
    <v t="i">750</v>
    <v t="i">757</v>
    <v t="i">764</v>
    <v t="i">771</v>
    <v t="i">778</v>
    <v t="i">785</v>
    <v t="i">792</v>
    <v t="i">799</v>
    <v t="i">807</v>
    <v t="i">813</v>
    <v t="i">820</v>
    <v t="i">827</v>
    <v t="i">834</v>
    <v t="i">841</v>
    <v t="i">847</v>
    <v t="i">855</v>
    <v t="i">863</v>
    <v t="i">869</v>
    <v t="i">876</v>
    <v t="i">883</v>
    <v t="i">891</v>
    <v t="i">897</v>
    <v t="i">904</v>
    <v t="i">911</v>
    <v t="i">919</v>
    <v t="i">925</v>
    <v t="i">932</v>
    <v t="i">939</v>
    <v t="i">946</v>
    <v t="i">953</v>
    <v t="i">960</v>
    <v t="i">967</v>
    <v t="i">974</v>
    <v t="i">982</v>
    <v t="i">988</v>
    <v t="i">995</v>
    <v t="i">1002</v>
    <v t="i">1009</v>
    <v t="i">1016</v>
    <v t="i">1023</v>
    <v t="i">1030</v>
    <v t="i">1038</v>
    <v t="i">1044</v>
    <v t="i">1051</v>
    <v t="i">1058</v>
    <v t="i">1066</v>
    <v t="i">1072</v>
    <v t="i">1079</v>
    <v t="i">1086</v>
    <v t="i">1093</v>
    <v t="i">1100</v>
    <v t="i">1107</v>
    <v t="i">1114</v>
    <v t="i">1121</v>
    <v t="i">1128</v>
    <v t="i">1135</v>
    <v t="i">1142</v>
    <v t="i">1149</v>
    <v t="i">1156</v>
    <v t="i">1163</v>
    <v t="i">1170</v>
    <v t="i">1177</v>
    <v t="i">1184</v>
    <v t="i">1191</v>
    <v t="i">1198</v>
    <v t="i">1205</v>
    <v t="i">1212</v>
    <v t="i">1219</v>
    <v t="i">1226</v>
    <v t="i">1233</v>
    <v t="i">1240</v>
    <v t="i">1247</v>
    <v t="i">1254</v>
    <v t="i">1261</v>
    <v t="i">1268</v>
    <v t="i">1275</v>
    <v t="i">1282</v>
    <v t="i">1289</v>
    <v t="i">1296</v>
    <v t="i">1303</v>
    <v t="i">1310</v>
    <v t="i">1317</v>
    <v t="i">1324</v>
    <v t="i">1331</v>
    <v t="i">1338</v>
    <v t="i">1345</v>
    <v t="i">1353</v>
    <v t="i">1359</v>
    <v t="i">1367</v>
    <v t="i">1373</v>
    <v t="i">1380</v>
    <v t="i">1387</v>
    <v t="i">1394</v>
    <v t="i">1401</v>
    <v t="i">1408</v>
    <v t="i">1415</v>
    <v t="i">1422</v>
    <v t="i">1429</v>
    <v t="i">1436</v>
    <v t="i">1443</v>
    <v t="i">1450</v>
    <v t="i">1457</v>
    <v t="i">1464</v>
    <v t="i">1471</v>
    <v t="i">1478</v>
    <v t="i">1485</v>
    <v t="i">1492</v>
    <v t="i">1499</v>
    <v t="i">1506</v>
    <v t="i">1513</v>
    <v t="i">1520</v>
    <v t="i">1527</v>
    <v t="i">1534</v>
    <v t="i">1541</v>
    <v t="i">1548</v>
    <v t="i">1555</v>
    <v t="i">1562</v>
    <v t="i">1569</v>
    <v t="i">1576</v>
    <v t="i">1583</v>
    <v t="i">1590</v>
    <v t="i">1597</v>
    <v t="i">1604</v>
    <v t="i">1611</v>
    <v t="i">1618</v>
    <v t="i">1625</v>
    <v t="i">1632</v>
    <v t="i">1639</v>
    <v t="i">1646</v>
    <v t="i">1654</v>
    <v t="i">1659</v>
    <v t="i">1667</v>
    <v t="i">1674</v>
    <v t="i">1681</v>
    <v t="i">1688</v>
    <v t="i">1695</v>
    <v t="i">1702</v>
    <v t="i">1709</v>
    <v t="i">1716</v>
    <v t="i">1723</v>
    <v t="i">1730</v>
    <v t="i">1737</v>
    <v t="i">1744</v>
    <v t="i">1751</v>
    <v t="i">1758</v>
    <v t="i">1765</v>
    <v t="i">1772</v>
    <v t="i">1779</v>
    <v t="i">1786</v>
    <v t="i">1793</v>
    <v t="i">1800</v>
    <v t="i">1807</v>
    <v t="i">1814</v>
    <v t="i">1821</v>
    <v t="i">1828</v>
  </a>
  <a r="1" c="262">
    <v>3083.75</v>
    <v>2958.45</v>
    <v>2966.45</v>
    <v>2988.7</v>
    <v>3112.95</v>
    <v>3036.8</v>
    <v>3338.8</v>
    <v>3346.35</v>
    <v>3303.05</v>
    <v>3448.6</v>
    <v>3177.85</v>
    <v>3306.9</v>
    <v>3297.8</v>
    <v>2982.4</v>
    <v>3100.1</v>
    <v>3159.25</v>
    <v>3122.9</v>
    <v>3226.85</v>
    <v>3143.1</v>
    <v>3110.45</v>
    <v>3283.15</v>
    <v>3243.7</v>
    <v>3284.8</v>
    <v>3382.95</v>
    <v>3576.3</v>
    <v>3364.4</v>
    <v>3274.85</v>
    <v>3110.85</v>
    <v>3236.65</v>
    <v>3216.3</v>
    <v>3258.45</v>
    <v>3119.2</v>
    <v>2738.15</v>
    <v>2932</v>
    <v>3136.6</v>
    <v>3046.95</v>
    <v>3114.15</v>
    <v>3206.25</v>
    <v>3080.65</v>
    <v>3164.4</v>
    <v>3237.2</v>
    <v>3016.25</v>
    <v>3064</v>
    <v>3109.95</v>
    <v>2834.85</v>
    <v>2886.9</v>
    <v>2708.75</v>
    <v>2580.1999999999998</v>
    <v>2760.9</v>
    <v>2773.15</v>
    <v>2879.8</v>
    <v>2978.15</v>
    <v>3067.4</v>
    <v>3333.75</v>
    <v>3473.9</v>
    <v>3427.85</v>
    <v>3482.55</v>
    <v>3323.55</v>
    <v>3431.05</v>
    <v>3441.85</v>
    <v>3322.55</v>
    <v>3395.25</v>
    <v>3342.45</v>
    <v>3343.7</v>
    <v>3185.5</v>
    <v>3092.4</v>
    <v>3053.4</v>
    <v>3181.35</v>
    <v>3055.4</v>
    <v>3095.5</v>
    <v>3108.15</v>
    <v>3143.45</v>
    <v>3226.95</v>
    <v>3055.9</v>
    <v>3057.9</v>
    <v>3087.9</v>
    <v>2978.4</v>
    <v>2909.15</v>
    <v>2787.8</v>
    <v>2722.65</v>
    <v>2760.4</v>
    <v>2804.6</v>
    <v>2833.6</v>
    <v>2738.5</v>
    <v>2828.85</v>
    <v>2830.2</v>
    <v>2862.65</v>
    <v>2798.5</v>
    <v>2761.65</v>
    <v>2809.85</v>
    <v>2809.75</v>
    <v>2882.1</v>
    <v>2902.35</v>
    <v>3012.95</v>
    <v>3131.1</v>
    <v>3084.45</v>
    <v>3128.4</v>
    <v>3237.25</v>
    <v>3180.55</v>
    <v>3316.85</v>
    <v>3297.7</v>
    <v>3362.05</v>
    <v>3343.7</v>
    <v>3429.75</v>
    <v>3517.7</v>
    <v>3390.7</v>
    <v>3339.65</v>
    <v>3185.35</v>
    <v>3163.55</v>
    <v>3259.3</v>
    <v>3259.55</v>
    <v>3238.05</v>
    <v>3196.65</v>
    <v>3274.85</v>
    <v>3161.05</v>
    <v>3195.75</v>
    <v>3148.8</v>
    <v>3105.85</v>
    <v>2955.15</v>
    <v>2977.85</v>
    <v>3076.45</v>
    <v>3168.9</v>
    <v>3136.15</v>
    <v>3173.4</v>
    <v>3232</v>
    <v>3313.9</v>
    <v>3341.3</v>
    <v>3402.4</v>
    <v>3355.55</v>
    <v>3277.8</v>
    <v>3138.8</v>
    <v>2949.2</v>
    <v>2936.3</v>
    <v>2951.65</v>
    <v>3007.9</v>
    <v>2985.95</v>
    <v>2849.8</v>
    <v>2870.55</v>
    <v>2867.55</v>
    <v>2841.5</v>
    <v>2846.75</v>
    <v>2883.45</v>
    <v>2854.5</v>
    <v>2808.55</v>
    <v>2844.15</v>
    <v>2929.75</v>
    <v>2771.25</v>
    <v>2816.35</v>
    <v>2874.75</v>
    <v>2881.2</v>
    <v>2927.7</v>
    <v>2921.6</v>
    <v>2890.85</v>
    <v>2917.05</v>
    <v>2935.9</v>
    <v>2999.15</v>
    <v>2946.05</v>
    <v>2950.15</v>
    <v>3106.7</v>
    <v>3040.6</v>
    <v>3048.15</v>
    <v>3154.65</v>
    <v>3126.8</v>
    <v>3273.7</v>
    <v>3358.05</v>
    <v>3306.95</v>
    <v>3310.75</v>
    <v>3072.5</v>
    <v>3037.2</v>
    <v>2992.15</v>
    <v>2958</v>
    <v>2939.85</v>
    <v>2769.45</v>
    <v>2483.15</v>
    <v>2472.1999999999998</v>
    <v>2479.6</v>
    <v>2429.6999999999998</v>
    <v>2407.65</v>
    <v>2282.35</v>
    <v>2271.4</v>
    <v>2335.9499999999998</v>
    <v>2320.75</v>
    <v>2261</v>
    <v>2262.4</v>
    <v>2351.15</v>
    <v>2271</v>
    <v>2231.3000000000002</v>
    <v>2257.6</v>
    <v>2179.75</v>
    <v>2270</v>
    <v>2231.3000000000002</v>
    <v>2300.4</v>
    <v>2340.65</v>
    <v>2356.0500000000002</v>
    <v>2393.6</v>
    <v>2467.9</v>
    <v>2431.6</v>
    <v>2409.8000000000002</v>
    <v>2299.6</v>
    <v>2353.6</v>
    <v>2315.5</v>
    <v>2259.1</v>
    <v>2245.1999999999998</v>
    <v>2214.1999999999998</v>
    <v>2285.6999999999998</v>
    <v>2358.6999999999998</v>
    <v>2424.1999999999998</v>
    <v>2439.1999999999998</v>
    <v>2382.4</v>
    <v>2336.1999999999998</v>
    <v>2431</v>
    <v>2475.6</v>
    <v>2528.6999999999998</v>
    <v>2504.5</v>
    <v>2518.6</v>
    <v>2579.9</v>
    <v>2546.3000000000002</v>
    <v>2481.6999999999998</v>
    <v>2342.8000000000002</v>
    <v>2357.8000000000002</v>
    <v>2340.1999999999998</v>
    <v>2507.8000000000002</v>
    <v>2501.6</v>
    <v>2510.8000000000002</v>
    <v>2613.8000000000002</v>
    <v>2906.4</v>
    <v>2876.6</v>
    <v>2874.4</v>
    <v>2968.5</v>
    <v>2764.8</v>
    <v>2799.9</v>
    <v>2746.5</v>
    <v>2772.6</v>
    <v>2825.5</v>
    <v>2756.9</v>
    <v>2703.7</v>
    <v>2428.3000000000002</v>
    <v>2401.1</v>
    <v>2366.4</v>
    <v>2428.1</v>
    <v>2376.1999999999998</v>
    <v>2279.5</v>
    <v>2196.8000000000002</v>
    <v>2195.4</v>
    <v>2207.4</v>
    <v>2169</v>
    <v>2360.6999999999998</v>
    <v>2464</v>
    <v>2485.1</v>
    <v>2444.5</v>
    <v>2599.9</v>
    <v>2605.6</v>
    <v>2639.8</v>
    <v>2671.6</v>
    <v>2686.7</v>
    <v>2747.4</v>
    <v>2732.9</v>
    <v>2645.2</v>
    <v>2737.8</v>
    <v>2677.8</v>
    <v>2689</v>
    <v>2637.9</v>
  </a>
  <a r="1" c="262">
    <v t="i">1</v>
    <v t="i">8</v>
    <v t="i">15</v>
    <v t="i">22</v>
    <v t="i">29</v>
    <v t="i">37</v>
    <v t="i">43</v>
    <v t="i">50</v>
    <v t="i">57</v>
    <v t="i">64</v>
    <v t="i">71</v>
    <v t="i">78</v>
    <v t="i">85</v>
    <v t="i">92</v>
    <v t="i">99</v>
    <v t="i">106</v>
    <v t="i">113</v>
    <v t="i">120</v>
    <v t="i">127</v>
    <v t="i">134</v>
    <v t="i">141</v>
    <v t="i">148</v>
    <v t="i">155</v>
    <v t="i">162</v>
    <v t="i">169</v>
    <v t="i">176</v>
    <v t="i">183</v>
    <v t="i">190</v>
    <v t="i">197</v>
    <v t="i">204</v>
    <v t="i">211</v>
    <v t="i">218</v>
    <v t="i">225</v>
    <v t="i">232</v>
    <v t="i">239</v>
    <v t="i">246</v>
    <v t="i">253</v>
    <v t="i">260</v>
    <v t="i">267</v>
    <v t="i">274</v>
    <v t="i">281</v>
    <v t="i">288</v>
    <v t="i">295</v>
    <v t="i">302</v>
    <v t="i">309</v>
    <v t="i">316</v>
    <v t="i">323</v>
    <v t="i">330</v>
    <v t="i">337</v>
    <v t="i">344</v>
    <v t="i">351</v>
    <v t="i">358</v>
    <v t="i">365</v>
    <v t="i">372</v>
    <v t="i">379</v>
    <v t="i">386</v>
    <v t="i">394</v>
    <v t="i">400</v>
    <v t="i">407</v>
    <v t="i">414</v>
    <v t="i">421</v>
    <v t="i">428</v>
    <v t="i">435</v>
    <v t="i">442</v>
    <v t="i">449</v>
    <v t="i">456</v>
    <v t="i">463</v>
    <v t="i">470</v>
    <v t="i">477</v>
    <v t="i">484</v>
    <v t="i">491</v>
    <v t="i">498</v>
    <v t="i">505</v>
    <v t="i">512</v>
    <v t="i">519</v>
    <v t="i">526</v>
    <v t="i">533</v>
    <v t="i">540</v>
    <v t="i">547</v>
    <v t="i">554</v>
    <v t="i">561</v>
    <v t="i">568</v>
    <v t="i">575</v>
    <v t="i">582</v>
    <v t="i">589</v>
    <v t="i">596</v>
    <v t="i">603</v>
    <v t="i">610</v>
    <v t="i">617</v>
    <v t="i">624</v>
    <v t="i">631</v>
    <v t="i">638</v>
    <v t="i">645</v>
    <v t="i">653</v>
    <v t="i">659</v>
    <v t="i">666</v>
    <v t="i">673</v>
    <v t="i">680</v>
    <v t="i">687</v>
    <v t="i">694</v>
    <v t="i">701</v>
    <v t="i">708</v>
    <v t="i">715</v>
    <v t="i">722</v>
    <v t="i">729</v>
    <v t="i">736</v>
    <v t="i">743</v>
    <v t="i">750</v>
    <v t="i">757</v>
    <v t="i">764</v>
    <v t="i">771</v>
    <v t="i">778</v>
    <v t="i">785</v>
    <v t="i">792</v>
    <v t="i">799</v>
    <v t="i">807</v>
    <v t="i">813</v>
    <v t="i">820</v>
    <v t="i">827</v>
    <v t="i">834</v>
    <v t="i">841</v>
    <v t="i">847</v>
    <v t="i">855</v>
    <v t="i">863</v>
    <v t="i">869</v>
    <v t="i">876</v>
    <v t="i">883</v>
    <v t="i">891</v>
    <v t="i">897</v>
    <v t="i">904</v>
    <v t="i">911</v>
    <v t="i">919</v>
    <v t="i">925</v>
    <v t="i">932</v>
    <v t="i">939</v>
    <v t="i">946</v>
    <v t="i">953</v>
    <v t="i">960</v>
    <v t="i">967</v>
    <v t="i">974</v>
    <v t="i">982</v>
    <v t="i">988</v>
    <v t="i">995</v>
    <v t="i">1002</v>
    <v t="i">1009</v>
    <v t="i">1016</v>
    <v t="i">1023</v>
    <v t="i">1030</v>
    <v t="i">1038</v>
    <v t="i">1044</v>
    <v t="i">1051</v>
    <v t="i">1058</v>
    <v t="i">1066</v>
    <v t="i">1072</v>
    <v t="i">1079</v>
    <v t="i">1086</v>
    <v t="i">1093</v>
    <v t="i">1100</v>
    <v t="i">1107</v>
    <v t="i">1114</v>
    <v t="i">1121</v>
    <v t="i">1128</v>
    <v t="i">1135</v>
    <v t="i">1142</v>
    <v t="i">1149</v>
    <v t="i">1156</v>
    <v t="i">1163</v>
    <v t="i">1170</v>
    <v t="i">1177</v>
    <v t="i">1184</v>
    <v t="i">1191</v>
    <v t="i">1198</v>
    <v t="i">1205</v>
    <v t="i">1212</v>
    <v t="i">1219</v>
    <v t="i">1226</v>
    <v t="i">1233</v>
    <v t="i">1240</v>
    <v t="i">1247</v>
    <v t="i">1254</v>
    <v t="i">1261</v>
    <v t="i">1268</v>
    <v t="i">1275</v>
    <v t="i">1282</v>
    <v t="i">1289</v>
    <v t="i">1296</v>
    <v t="i">1303</v>
    <v t="i">1310</v>
    <v t="i">1317</v>
    <v t="i">1324</v>
    <v t="i">1331</v>
    <v t="i">1338</v>
    <v t="i">1345</v>
    <v t="i">1353</v>
    <v t="i">1359</v>
    <v t="i">1367</v>
    <v t="i">1373</v>
    <v t="i">1380</v>
    <v t="i">1387</v>
    <v t="i">1394</v>
    <v t="i">1401</v>
    <v t="i">1408</v>
    <v t="i">1415</v>
    <v t="i">1422</v>
    <v t="i">1429</v>
    <v t="i">1436</v>
    <v t="i">1443</v>
    <v t="i">1450</v>
    <v t="i">1457</v>
    <v t="i">1464</v>
    <v t="i">1471</v>
    <v t="i">1478</v>
    <v t="i">1485</v>
    <v t="i">1492</v>
    <v t="i">1499</v>
    <v t="i">1506</v>
    <v t="i">1513</v>
    <v t="i">1520</v>
    <v t="i">1527</v>
    <v t="i">1534</v>
    <v t="i">1541</v>
    <v t="i">1548</v>
    <v t="i">1555</v>
    <v t="i">1562</v>
    <v t="i">1569</v>
    <v t="i">1576</v>
    <v t="i">1583</v>
    <v t="i">1590</v>
    <v t="i">1597</v>
    <v t="i">1604</v>
    <v t="i">1611</v>
    <v t="i">1618</v>
    <v t="i">1625</v>
    <v t="i">1632</v>
    <v t="i">1639</v>
    <v t="i">1646</v>
    <v t="i">1654</v>
    <v t="i">1659</v>
    <v t="i">1667</v>
    <v t="i">1674</v>
    <v t="i">1681</v>
    <v t="i">1688</v>
    <v t="i">1695</v>
    <v t="i">1702</v>
    <v t="i">1709</v>
    <v t="i">1716</v>
    <v t="i">1723</v>
    <v t="i">1730</v>
    <v t="i">1737</v>
    <v t="i">1744</v>
    <v t="i">1751</v>
    <v t="i">1758</v>
    <v t="i">1765</v>
    <v t="i">1772</v>
    <v t="i">1779</v>
    <v t="i">1786</v>
    <v t="i">1793</v>
    <v t="i">1800</v>
    <v t="i">1807</v>
    <v t="i">1814</v>
    <v t="i">1821</v>
    <v t="i">1828</v>
  </a>
  <a r="1" c="262">
    <v>15856.05</v>
    <v>15763.05</v>
    <v>16238.2</v>
    <v>16529.099999999999</v>
    <v>16450.5</v>
    <v>16705.2</v>
    <v>17323.599999999999</v>
    <v>17369.25</v>
    <v>17585.150000000001</v>
    <v>17853.2</v>
    <v>17532.05</v>
    <v>17895.2</v>
    <v>18338.55</v>
    <v>18114.900000000001</v>
    <v>17671.650000000001</v>
    <v>17916.8</v>
    <v>18102.75</v>
    <v>17764.8</v>
    <v>17026.45</v>
    <v>17196.7</v>
    <v>17511.3</v>
    <v>16985.2</v>
    <v>17003.75</v>
    <v>17354.05</v>
    <v>17812.7</v>
    <v>18255.75</v>
    <v>17617.150000000001</v>
    <v>17101.95</v>
    <v>17516.3</v>
    <v>17374.75</v>
    <v>17276.3</v>
    <v>16658.400000000001</v>
    <v>16245.35</v>
    <v>16630.45</v>
    <v>17287.05</v>
    <v>17153</v>
    <v>17670.45</v>
    <v>17784.349999999999</v>
    <v>17475.650000000001</v>
    <v>17171.95</v>
    <v>17102.55</v>
    <v>16411.25</v>
    <v>15782.15</v>
    <v>16266.15</v>
    <v>16352.45</v>
    <v>16584.3</v>
    <v>16201.8</v>
    <v>15293.5</v>
    <v>15699.25</v>
    <v>15752.05</v>
    <v>16220.6</v>
    <v>16049.2</v>
    <v>16719.45</v>
    <v>17158.25</v>
    <v>17397.5</v>
    <v>17698.150000000001</v>
    <v>17758.45</v>
    <v>17558.900000000001</v>
    <v>17539.45</v>
    <v>17833.349999999999</v>
    <v>17530.849999999999</v>
    <v>17327.349999999999</v>
    <v>17094.349999999999</v>
    <v>17331.8</v>
    <v>17185.7</v>
    <v>17576.3</v>
    <v>17786.8</v>
    <v>18117.150000000001</v>
    <v>18349.7</v>
    <v>18307.650000000001</v>
    <v>18512.75</v>
    <v>18696.099999999999</v>
    <v>18496.599999999999</v>
    <v>18269</v>
    <v>17806.8</v>
    <v>18105.3</v>
    <v>17859.45</v>
    <v>17956.599999999999</v>
    <v>18027.650000000001</v>
    <v>17604.349999999999</v>
    <v>17854.05</v>
    <v>17856.5</v>
    <v>17944.2</v>
    <v>17465.8</v>
    <v>17594.349999999999</v>
    <v>17412.900000000001</v>
    <v>17100.05</v>
    <v>16945.05</v>
    <v>17359.75</v>
    <v>17599.150000000001</v>
    <v>17828</v>
    <v>17624.05</v>
    <v>18065</v>
    <v>18069</v>
    <v>18314.8</v>
    <v>18203.400000000001</v>
    <v>18499.349999999999</v>
    <v>18534.099999999999</v>
    <v>18563.400000000001</v>
    <v>18826</v>
    <v>18665.5</v>
    <v>19189.05</v>
    <v>19331.8</v>
    <v>19564.5</v>
    <v>19745</v>
    <v>19646.05</v>
    <v>19517</v>
    <v>19428.3</v>
    <v>19310.150000000001</v>
    <v>19265.8</v>
    <v>19435.3</v>
    <v>19819.95</v>
    <v>20192.349999999999</v>
    <v>19674.25</v>
    <v>19638.3</v>
    <v>19653.5</v>
    <v>19751.05</v>
    <v>19542.650000000001</v>
    <v>19047.25</v>
    <v>19230.599999999999</v>
    <v>19425.349999999999</v>
    <v>19731.8</v>
    <v>19794.7</v>
    <v>20267.900000000001</v>
    <v>20969.400000000001</v>
    <v>21456.65</v>
    <v>21349.4</v>
    <v>21731.4</v>
    <v>21710.799999999999</v>
    <v>21894.55</v>
    <v>21571.8</v>
    <v>21352.6</v>
    <v>21853.8</v>
    <v>21782.5</v>
    <v>22040.7</v>
    <v>22212.7</v>
    <v>22378.400000000001</v>
    <v>22493.55</v>
    <v>22023.35</v>
    <v>22096.75</v>
    <v>22326.9</v>
    <v>22513.7</v>
    <v>22519.4</v>
    <v>22147</v>
    <v>22419.95</v>
    <v>22475.85</v>
    <v>22055.200000000001</v>
    <v>22502</v>
    <v>22957.1</v>
    <v>22530.7</v>
    <v>23290.15</v>
    <v>23465.599999999999</v>
    <v>23501.1</v>
    <v>24010.6</v>
    <v>24323.85</v>
    <v>24502.15</v>
    <v>24530.9</v>
    <v>24834.85</v>
    <v>24717.7</v>
    <v>24367.5</v>
    <v>24541.15</v>
    <v>24823.15</v>
    <v>25235.9</v>
    <v>24852.15</v>
    <v>25356.5</v>
    <v>25790.95</v>
    <v>26178.95</v>
    <v>25014.6</v>
    <v>24964.25</v>
    <v>24854.05</v>
    <v>24180.799999999999</v>
    <v>24304.35</v>
    <v>24148.2</v>
    <v>23532.7</v>
    <v>23907.25</v>
    <v>24131.1</v>
    <v>24677.8</v>
    <v>24768.3</v>
    <v>23587.5</v>
    <v>23813.4</v>
    <v>24004.75</v>
    <v>23431.5</v>
    <v>23203.200000000001</v>
    <v>23092.2</v>
    <v>23482.15</v>
    <v>23559.95</v>
    <v>22929.25</v>
    <v>22795.9</v>
    <v>22124.7</v>
    <v>22552.5</v>
    <v>22397.200000000001</v>
    <v>23350.400000000001</v>
    <v>23519.35</v>
    <v>22904.45</v>
    <v>22828.55</v>
    <v>23851.65</v>
    <v>24039.35</v>
    <v>24346.7</v>
    <v>24008</v>
    <v>25019.8</v>
    <v>24853.15</v>
    <v>24750.7</v>
    <v>25003.05</v>
    <v>24718.6</v>
    <v>25112.400000000001</v>
    <v>25637.8</v>
    <v>25461</v>
    <v>25149.85</v>
    <v>24968.400000000001</v>
    <v>24837</v>
    <v>24565.35</v>
    <v>24363.3</v>
    <v>24631.3</v>
    <v>24870.1</v>
    <v>24426.85</v>
    <v>24741</v>
    <v>25114</v>
    <v>25327.05</v>
    <v>24654.7</v>
    <v>24894.25</v>
    <v>25285.35</v>
    <v>25709.85</v>
    <v>25795.15</v>
    <v>25722.1</v>
    <v>25492.3</v>
    <v>25910.05</v>
    <v>26068.15</v>
    <v>26202.95</v>
    <v>26186.45</v>
    <v>26046.95</v>
    <v>25966.400000000001</v>
    <v>26042.3</v>
    <v>26328.55</v>
    <v>25683.3</v>
    <v>25694.35</v>
    <v>25048.65</v>
    <v>25320.65</v>
    <v>25693.7</v>
    <v>25471.1</v>
    <v>25571.25</v>
    <v>25178.65</v>
    <v>24450.45</v>
    <v>23151.1</v>
    <v>23114.5</v>
    <v>22819.599999999999</v>
    <v>22713.1</v>
    <v>24050.6</v>
    <v>24353.55</v>
    <v>23897.95</v>
    <v>23997.55</v>
    <v>24176.15</v>
    <v>23643.5</v>
    <v>23719.3</v>
    <v>23547.75</v>
    <v>23366.7</v>
    <v>23622.9</v>
    <v>24013.1</v>
    <v>24056</v>
    <v>24270.85</v>
    <v>24206.9</v>
    <v>24334.3</v>
    <v>23767.45</v>
  </a>
  <a r="1" c="262">
    <v>413.86790000000002</v>
    <v>415.12790000000001</v>
    <v>422.12470000000002</v>
    <v>416.55380000000002</v>
    <v>414.8295</v>
    <v>412.6078</v>
    <v>410.88350000000003</v>
    <v>405.3458</v>
    <v>407.1696</v>
    <v>416.91860000000003</v>
    <v>422.5557</v>
    <v>418.94130000000001</v>
    <v>402.69299999999998</v>
    <v>364.65870000000001</v>
    <v>361.4753</v>
    <v>381.23860000000002</v>
    <v>395.63</v>
    <v>391.88290000000001</v>
    <v>384.58769999999998</v>
    <v>394.5025</v>
    <v>395.96159999999998</v>
    <v>391.18650000000002</v>
    <v>381.86860000000001</v>
    <v>392.08190000000002</v>
    <v>396.52530000000002</v>
    <v>404.8152</v>
    <v>381.8023</v>
    <v>378.28739999999999</v>
    <v>358.59039999999999</v>
    <v>329.94029999999998</v>
    <v>328.05020000000002</v>
    <v>299.00220000000002</v>
    <v>295.1225</v>
    <v>298.50479999999999</v>
    <v>315.58210000000003</v>
    <v>301.25709999999998</v>
    <v>311.56979999999999</v>
    <v>307.85590000000002</v>
    <v>308.4196</v>
    <v>311.56979999999999</v>
    <v>311.404</v>
    <v>299.30059999999997</v>
    <v>264.01859999999999</v>
    <v>264.41649999999998</v>
    <v>268.49520000000001</v>
    <v>273.80070000000001</v>
    <v>264.68180000000001</v>
    <v>245.94649999999999</v>
    <v>247.505</v>
    <v>247.0076</v>
    <v>259.21039999999999</v>
    <v>259.64150000000001</v>
    <v>266.7045</v>
    <v>265.27870000000001</v>
    <v>332.56</v>
    <v>327.78489999999999</v>
    <v>335.37849999999997</v>
    <v>326.88959999999997</v>
    <v>331.39940000000001</v>
    <v>340.48520000000002</v>
    <v>318.2681</v>
    <v>317.73750000000001</v>
    <v>324.73419999999999</v>
    <v>315.41629999999998</v>
    <v>319.22969999999998</v>
    <v>317.80380000000002</v>
    <v>315.81420000000003</v>
    <v>297.1121</v>
    <v>296.78050000000002</v>
    <v>287.89370000000002</v>
    <v>288.68950000000001</v>
    <v>292.27080000000001</v>
    <v>296.21679999999998</v>
    <v>284.97559999999999</v>
    <v>280.49900000000002</v>
    <v>291.3091</v>
    <v>278.1447</v>
    <v>274.16550000000001</v>
    <v>277.58100000000002</v>
    <v>272.14269999999999</v>
    <v>276.98410000000001</v>
    <v>278.27730000000003</v>
    <v>274.99450000000002</v>
    <v>278.012</v>
    <v>272.30849999999998</v>
    <v>270.75</v>
    <v>264.74810000000002</v>
    <v>254.93279999999999</v>
    <v>256.52449999999999</v>
    <v>259.90679999999998</v>
    <v>252.81059999999999</v>
    <v>253.5069</v>
    <v>252.11420000000001</v>
    <v>261.399</v>
    <v>277.44830000000002</v>
    <v>270.84949999999998</v>
    <v>272.1096</v>
    <v>282.5881</v>
    <v>287.56209999999999</v>
    <v>300.26229999999998</v>
    <v>304.0093</v>
    <v>298.73689999999999</v>
    <v>312.1651</v>
    <v>306.29579999999999</v>
    <v>321.1182</v>
    <v>325.89319999999998</v>
    <v>325.39580000000001</v>
    <v>327.28590000000003</v>
    <v>326.39060000000001</v>
    <v>320.5213</v>
    <v>338.22859999999997</v>
    <v>335.49290000000002</v>
    <v>324.94819999999999</v>
    <v>320.77</v>
    <v>315.79610000000002</v>
    <v>322.113</v>
    <v>321.21769999999998</v>
    <v>319.5763</v>
    <v>311.91640000000001</v>
    <v>303.41090000000003</v>
    <v>302.8141</v>
    <v>323.7047</v>
    <v>318.68099999999998</v>
    <v>318.38249999999999</v>
    <v>328.62889999999999</v>
    <v>331.16559999999998</v>
    <v>320.77</v>
    <v>331.5138</v>
    <v>334.94580000000002</v>
    <v>338.52699999999999</v>
    <v>339.77050000000003</v>
    <v>331.01639999999998</v>
    <v>338.726</v>
    <v>315.09969999999998</v>
    <v>302.8141</v>
    <v>300.3768</v>
    <v>290.97609999999997</v>
    <v>282.57010000000002</v>
    <v>269.93630000000002</v>
    <v>267.25029999999998</v>
    <v>260.88369999999998</v>
    <v>283.6644</v>
    <v>278.9391</v>
    <v>271.92579999999998</v>
    <v>278.44170000000003</v>
    <v>286.05189999999999</v>
    <v>276.4024</v>
    <v>276.4024</v>
    <v>271.82639999999998</v>
    <v>268.19540000000001</v>
    <v>276.55160000000001</v>
    <v>281.42610000000002</v>
    <v>272.7217</v>
    <v>268.69279999999998</v>
    <v>265.55919999999998</v>
    <v>276.65109999999999</v>
    <v>270.08550000000002</v>
    <v>273.8657</v>
    <v>301.02350000000001</v>
    <v>292.16980000000001</v>
    <v>288.58859999999999</v>
    <v>292.76670000000001</v>
    <v>294.95519999999999</v>
    <v>304.45549999999997</v>
    <v>309.77760000000001</v>
    <v>300.57580000000002</v>
    <v>307.73829999999998</v>
    <v>290.57819999999998</v>
    <v>287.24560000000002</v>
    <v>285.55450000000002</v>
    <v>277.69560000000001</v>
    <v>285.50470000000001</v>
    <v>269.7373</v>
    <v>257.89929999999998</v>
    <v>265.85759999999999</v>
    <v>279.48630000000003</v>
    <v>276.4024</v>
    <v>261.3313</v>
    <v>260.83390000000003</v>
    <v>259.93860000000001</v>
    <v>260.53550000000001</v>
    <v>252.4777</v>
    <v>242.92769999999999</v>
    <v>240.83869999999999</v>
    <v>238.77940000000001</v>
    <v>247.68279999999999</v>
    <v>230.1944</v>
    <v>240.37110000000001</v>
    <v>225.47909999999999</v>
    <v>234.42230000000001</v>
    <v>223.4796</v>
    <v>243.65389999999999</v>
    <v>231.6866</v>
    <v>238.292</v>
    <v>248.27969999999999</v>
    <v>256.77519999999998</v>
    <v>260.84390000000002</v>
    <v>253.4228</v>
    <v>256.40710000000001</v>
    <v>262.22660000000002</v>
    <v>258.84440000000001</v>
    <v>252.37819999999999</v>
    <v>247.8519</v>
    <v>241.18680000000001</v>
    <v>238.5506</v>
    <v>248.1</v>
    <v>250.05</v>
    <v>246.25</v>
    <v>248.1</v>
    <v>244.95</v>
    <v>250.05</v>
    <v>232.89</v>
    <v>235.45</v>
    <v>232.62</v>
    <v>239.99</v>
    <v>242.88</v>
    <v>247.54</v>
    <v>251.85</v>
    <v>246.58</v>
    <v>252.36</v>
    <v>247.5</v>
    <v>253.26</v>
    <v>253.97</v>
    <v>247.96</v>
    <v>246.32</v>
    <v>248.8</v>
    <v>232.8</v>
    <v>236.49</v>
    <v>228.11</v>
    <v>223.5</v>
    <v>222.98</v>
    <v>237.42</v>
    <v>241.08</v>
    <v>232.46</v>
    <v>231.43</v>
    <v>227.08</v>
    <v>230.19</v>
    <v>214.35</v>
    <v>200.03</v>
    <v>198.69</v>
    <v>203.51</v>
    <v>189.19</v>
    <v>182.14</v>
    <v>166.77</v>
    <v>170.5</v>
    <v>178.6</v>
    <v>191.52</v>
    <v>203.09</v>
    <v>197.15</v>
    <v>197.19</v>
    <v>220.35</v>
    <v>222.07</v>
    <v>217.94</v>
    <v>218.06</v>
    <v>210.89</v>
    <v>216.5</v>
    <v>211.13</v>
    <v>212.41</v>
    <v>211.83</v>
    <v>202.64</v>
    <v>201.28</v>
    <v>193.19</v>
  </a>
  <a r="1" c="262">
    <v>711.87220000000002</v>
    <v>702.95550000000003</v>
    <v>689.8306</v>
    <v>675.9556</v>
    <v>682.7056</v>
    <v>654.87239999999997</v>
    <v>692.78890000000001</v>
    <v>697.12220000000002</v>
    <v>682.28890000000001</v>
    <v>700.08050000000003</v>
    <v>675.3306</v>
    <v>691.9556</v>
    <v>698.70550000000003</v>
    <v>613.70590000000004</v>
    <v>617.91420000000005</v>
    <v>635.83079999999995</v>
    <v>662.08069999999998</v>
    <v>656.78899999999999</v>
    <v>635.08079999999995</v>
    <v>608.28920000000005</v>
    <v>635.41409999999996</v>
    <v>627.70579999999995</v>
    <v>617.41420000000005</v>
    <v>643.12239999999997</v>
    <v>658.95569999999998</v>
    <v>642.78909999999996</v>
    <v>620.62249999999995</v>
    <v>605.33090000000004</v>
    <v>612.66420000000005</v>
    <v>598.28930000000003</v>
    <v>614.83090000000004</v>
    <v>571.4144</v>
    <v>544.20619999999997</v>
    <v>566.0394</v>
    <v>598.28930000000003</v>
    <v>573.83100000000002</v>
    <v>592.99760000000003</v>
    <v>612.16420000000005</v>
    <v>603.45590000000004</v>
    <v>597.20590000000004</v>
    <v>598.28930000000003</v>
    <v>555.58109999999999</v>
    <v>547.08109999999999</v>
    <v>525.28959999999995</v>
    <v>479.37310000000002</v>
    <v>507.41460000000001</v>
    <v>483.95639999999997</v>
    <v>467.28980000000001</v>
    <v>495.08139999999997</v>
    <v>485.20639999999997</v>
    <v>487.70639999999997</v>
    <v>478.03980000000001</v>
    <v>491.16469999999998</v>
    <v>520.58130000000006</v>
    <v>561.45609999999999</v>
    <v>563.6644</v>
    <v>580.91430000000003</v>
    <v>550.12279999999998</v>
    <v>556.7894</v>
    <v>553.33109999999999</v>
    <v>532.49789999999996</v>
    <v>528.08119999999997</v>
    <v>514.16459999999995</v>
    <v>521.58119999999997</v>
    <v>510.3313</v>
    <v>487.78969999999998</v>
    <v>479.03980000000001</v>
    <v>503.53969999999998</v>
    <v>498.41469999999998</v>
    <v>502.9563</v>
    <v>513.91459999999995</v>
    <v>513.66459999999995</v>
    <v>512.62289999999996</v>
    <v>495.70639999999997</v>
    <v>479.62310000000002</v>
    <v>484.45639999999997</v>
    <v>473.66480000000001</v>
    <v>468.45650000000001</v>
    <v>464.28980000000001</v>
    <v>449.58150000000001</v>
    <v>465.24810000000002</v>
    <v>476.33139999999997</v>
    <v>474.12310000000002</v>
    <v>465.03980000000001</v>
    <v>483.95639999999997</v>
    <v>490.91469999999998</v>
    <v>494.53969999999998</v>
    <v>478.08139999999997</v>
    <v>484.74810000000002</v>
    <v>497.66469999999998</v>
    <v>482.16469999999998</v>
    <v>487.16469999999998</v>
    <v>508.62299999999999</v>
    <v>514.37289999999996</v>
    <v>528.03959999999995</v>
    <v>521.03959999999995</v>
    <v>539.24779999999998</v>
    <v>543.70619999999997</v>
    <v>539.74779999999998</v>
    <v>561.2894</v>
    <v>563.0394</v>
    <v>565.08109999999999</v>
    <v>560.70609999999999</v>
    <v>556.74779999999998</v>
    <v>575.95600000000002</v>
    <v>566.37270000000001</v>
    <v>587.20600000000002</v>
    <v>583.91430000000003</v>
    <v>587.70600000000002</v>
    <v>586.95600000000002</v>
    <v>599.87260000000003</v>
    <v>597.41430000000003</v>
    <v>599.74760000000003</v>
    <v>669.3</v>
    <v>568.85</v>
    <v>565.35</v>
    <v>568.25</v>
    <v>584.25</v>
    <v>537.54999999999995</v>
    <v>553.15</v>
    <v>578.4</v>
    <v>587.79999999999995</v>
    <v>573.54999999999995</v>
    <v>586.15</v>
    <v>578.95000000000005</v>
    <v>585.79999999999995</v>
    <v>583.15</v>
    <v>604.65</v>
    <v>596.35</v>
    <v>595.79999999999995</v>
    <v>575.4</v>
    <v>554.70000000000005</v>
    <v>569.54999999999995</v>
    <v>554</v>
    <v>562.9</v>
    <v>571.9</v>
    <v>593.15</v>
    <v>573.4</v>
    <v>557.79999999999995</v>
    <v>558.35</v>
    <v>573.04999999999995</v>
    <v>562.15</v>
    <v>556.75</v>
    <v>504.55</v>
    <v>503.1</v>
    <v>523.25</v>
    <v>490.25</v>
    <v>494.2</v>
    <v>487.7</v>
    <v>460</v>
    <v>482.55</v>
    <v>502.7</v>
    <v>502.2</v>
    <v>504.2</v>
    <v>514.4</v>
    <v>526</v>
    <v>523.75</v>
    <v>542.4</v>
    <v>550.25</v>
    <v>531.65</v>
    <v>549.9</v>
    <v>565.70000000000005</v>
    <v>571.04999999999995</v>
    <v>596.29999999999995</v>
    <v>622.65</v>
    <v>622.85</v>
    <v>617.54999999999995</v>
    <v>576.95000000000005</v>
    <v>571.54999999999995</v>
    <v>556.35</v>
    <v>536.95000000000005</v>
    <v>531.75</v>
    <v>504.25</v>
    <v>491.9</v>
    <v>476.25</v>
    <v>493.7</v>
    <v>480.45</v>
    <v>475</v>
    <v>444.8</v>
    <v>442.3</v>
    <v>457.85</v>
    <v>460.85</v>
    <v>468.8</v>
    <v>480.1</v>
    <v>492.15</v>
    <v>479.35</v>
    <v>478.3</v>
    <v>491.25</v>
    <v>488.55</v>
    <v>509.35</v>
    <v>488.2</v>
    <v>500.3</v>
    <v>500.2</v>
    <v>512.04999999999995</v>
    <v>530.5</v>
    <v>543.6</v>
    <v>552.5</v>
    <v>543.6</v>
    <v>536.6</v>
    <v>576.1</v>
    <v>554.9</v>
    <v>568.29999999999995</v>
    <v>581.5</v>
    <v>570.15</v>
    <v>535.75</v>
    <v>583.95000000000005</v>
    <v>596</v>
    <v>572.54999999999995</v>
    <v>576.79999999999995</v>
    <v>558</v>
    <v>566.9</v>
    <v>551.04999999999995</v>
    <v>533.45000000000005</v>
    <v>527</v>
    <v>533</v>
    <v>538.70000000000005</v>
    <v>539.35</v>
    <v>531.6</v>
    <v>521.45000000000005</v>
    <v>542.6</v>
    <v>535.15</v>
    <v>544.9</v>
    <v>545.65</v>
    <v>542.1</v>
    <v>531.04999999999995</v>
    <v>579.54999999999995</v>
    <v>579.54999999999995</v>
    <v>564.6</v>
    <v>554.5</v>
    <v>541.25</v>
    <v>538</v>
    <v>542.04999999999995</v>
    <v>524.1</v>
    <v>514.20000000000005</v>
    <v>519.75</v>
    <v>504.5</v>
    <v>462.9</v>
    <v>472.4</v>
    <v>462</v>
    <v>455.45</v>
    <v>456.1</v>
    <v>440.3</v>
    <v>407.8</v>
    <v>416.7</v>
    <v>414.65</v>
    <v>422.25</v>
    <v>454</v>
    <v>468.6</v>
    <v>460.4</v>
    <v>473.1</v>
    <v>515.75</v>
    <v>533.45000000000005</v>
    <v>501.15</v>
    <v>500.6</v>
    <v>490.25</v>
    <v>515.15</v>
    <v>550.70000000000005</v>
    <v>538.65</v>
    <v>519.45000000000005</v>
    <v>497.25</v>
    <v>493.7</v>
    <v>497.95</v>
  </a>
  <a r="1" c="262">
    <v>2599.6</v>
    <v>2605.1</v>
    <v>2624.4</v>
    <v>2422.15</v>
    <v>2433</v>
    <v>2590.6</v>
    <v>2626.05</v>
    <v>2590.15</v>
    <v>2605.35</v>
    <v>2587.85</v>
    <v>2526.3000000000002</v>
    <v>2533.3000000000002</v>
    <v>2508</v>
    <v>2420.8000000000002</v>
    <v>2390.35</v>
    <v>2349.85</v>
    <v>2298.6999999999998</v>
    <v>2300.6999999999998</v>
    <v>2234.1</v>
    <v>2208.6999999999998</v>
    <v>2071.75</v>
    <v>2036.8</v>
    <v>1914.15</v>
    <v>2130.75</v>
    <v>2062.5500000000002</v>
    <v>2072.1</v>
    <v>2014.15</v>
    <v>1959.35</v>
    <v>1977.55</v>
    <v>1933.65</v>
    <v>1760.2</v>
    <v>1747.5</v>
    <v>1648.1</v>
    <v>1640.7</v>
    <v>1636.7</v>
    <v>1531.4</v>
    <v>1616.8</v>
    <v>1673.65</v>
    <v>1621.8</v>
    <v>1556.9</v>
    <v>1556</v>
    <v>1490.95</v>
    <v>1443.85</v>
    <v>1620.05</v>
    <v>1577.45</v>
    <v>1571.5</v>
    <v>1549.9</v>
    <v>1430.4</v>
    <v>1426.35</v>
    <v>1384.15</v>
    <v>1434.6</v>
    <v>1409.1</v>
    <v>1393.3</v>
    <v>1391.7</v>
    <v>1564.7</v>
    <v>1504.8</v>
    <v>1511.25</v>
    <v>1670.4</v>
    <v>1589.6</v>
    <v>1554</v>
    <v>1601.35</v>
    <v>1523.6</v>
    <v>1499.4</v>
    <v>1493.55</v>
    <v>1482.65</v>
    <v>1418.85</v>
    <v>1430.05</v>
    <v>1542.65</v>
    <v>1439.3</v>
    <v>1336.4</v>
    <v>1318.85</v>
    <v>1340.55</v>
    <v>1331.7</v>
    <v>1319.1</v>
    <v>1252.5</v>
    <v>1302.5999999999999</v>
    <v>1294.25</v>
    <v>1281.7</v>
    <v>1231.0999999999999</v>
    <v>1212.95</v>
    <v>1136.0999999999999</v>
    <v>1161.8</v>
    <v>1080.7</v>
    <v>1016.9</v>
    <v>1079.5</v>
    <v>1042.45</v>
    <v>1042.6500000000001</v>
    <v>1016.9</v>
    <v>1008.35</v>
    <v>1086.75</v>
    <v>1082.6500000000001</v>
    <v>1146.8499999999999</v>
    <v>1153.55</v>
    <v>1209.5</v>
    <v>1301.05</v>
    <v>1403.65</v>
    <v>1507.4</v>
    <v>1460.45</v>
    <v>1417</v>
    <v>1418.05</v>
    <v>1421.2</v>
    <v>1428.9</v>
    <v>1448.45</v>
    <v>1425.7</v>
    <v>1499.9</v>
    <v>1575.05</v>
    <v>1583.35</v>
    <v>1544.85</v>
    <v>1498.05</v>
    <v>1515.55</v>
    <v>1583.2</v>
    <v>1580.8</v>
    <v>1535.15</v>
    <v>1549.15</v>
    <v>1485.8</v>
    <v>1506.45</v>
    <v>1455.4</v>
    <v>1458.6</v>
    <v>1411.8</v>
    <v>1464.1</v>
    <v>1502.95</v>
    <v>1539.65</v>
    <v>1482.5</v>
    <v>1497.75</v>
    <v>1489</v>
    <v>1478.9</v>
    <v>1465.6</v>
    <v>1490.5</v>
    <v>1498.75</v>
    <v>1484.55</v>
    <v>1460.5</v>
    <v>1450</v>
    <v>1418.9</v>
    <v>1423.3</v>
    <v>1494.7</v>
    <v>1443.5</v>
    <v>1408.15</v>
    <v>1363.55</v>
    <v>1341.45</v>
    <v>1321.2</v>
    <v>1256.5999999999999</v>
    <v>1394.65</v>
    <v>1347.8</v>
    <v>1312.25</v>
    <v>1325</v>
    <v>1380.2</v>
    <v>1354.55</v>
    <v>1365</v>
    <v>1356.4</v>
    <v>1340.3</v>
    <v>1365.65</v>
    <v>1374.9</v>
    <v>1363.1</v>
    <v>1373</v>
    <v>1399.9</v>
    <v>1520.85</v>
    <v>1452.8</v>
    <v>1491.95</v>
    <v>1481</v>
    <v>1422.45</v>
    <v>1435.35</v>
    <v>1449.4</v>
    <v>1450.5</v>
    <v>1479.35</v>
    <v>1502.15</v>
    <v>1481.3</v>
    <v>1471.5</v>
    <v>1460.45</v>
    <v>1481.9</v>
    <v>1566.9</v>
    <v>1601.45</v>
    <v>1676.35</v>
    <v>1534.45</v>
    <v>1500.15</v>
    <v>1502.8</v>
    <v>1433.55</v>
    <v>1433.9</v>
    <v>1430.45</v>
    <v>1408.95</v>
    <v>1333.9</v>
    <v>1395.75</v>
    <v>1287.8</v>
    <v>1228.3</v>
    <v>1227.1500000000001</v>
    <v>1278.05</v>
    <v>1255.2</v>
    <v>1085.75</v>
    <v>1078.1500000000001</v>
    <v>1019.85</v>
    <v>1063.5</v>
    <v>990.25</v>
    <v>994.45</v>
    <v>942.7</v>
    <v>963.2</v>
    <v>985.7</v>
    <v>1017.45</v>
    <v>1005.55</v>
    <v>988.4</v>
    <v>950.35</v>
    <v>1028.2</v>
    <v>1031.8</v>
    <v>1079.45</v>
    <v>1074.9000000000001</v>
    <v>1094.5999999999999</v>
    <v>1121</v>
    <v>1161.0999999999999</v>
    <v>1199.5</v>
    <v>1200.2</v>
    <v>1201.0999999999999</v>
    <v>1140.4000000000001</v>
    <v>1204.5999999999999</v>
    <v>1152.4000000000001</v>
    <v>1107.2</v>
    <v>1133.5</v>
    <v>1099.7</v>
    <v>1145.4000000000001</v>
    <v>1146.5</v>
    <v>1123</v>
    <v>1090.5999999999999</v>
    <v>1084.0999999999999</v>
    <v>1051.4000000000001</v>
    <v>1028.5999999999999</v>
    <v>1032.5999999999999</v>
    <v>999.9</v>
    <v>1004.1</v>
    <v>1298.8</v>
    <v>1281.2</v>
    <v>1283.6500000000001</v>
    <v>1235.5</v>
    <v>1233.9000000000001</v>
    <v>1188.5999999999999</v>
    <v>1127.5</v>
    <v>1171.2</v>
    <v>1200.3</v>
    <v>1236.4000000000001</v>
    <v>1047.5</v>
    <v>1044.4000000000001</v>
    <v>1008.9</v>
    <v>973.1</v>
    <v>944</v>
    <v>936.8</v>
    <v>873.5</v>
    <v>786.85</v>
    <v>743.75</v>
    <v>730.8</v>
    <v>767.6</v>
    <v>810.9</v>
    <v>838</v>
    <v>860.05</v>
    <v>860.2</v>
    <v>974.15</v>
    <v>985.3</v>
    <v>1003.4</v>
    <v>990.9</v>
    <v>954.2</v>
    <v>995.2</v>
    <v>1025.1500000000001</v>
    <v>1006.25</v>
    <v>1065.9000000000001</v>
    <v>1052.4000000000001</v>
    <v>1065.0999999999999</v>
    <v>1048.9000000000001</v>
  </a>
  <a r="1" c="262">
    <v>173.875</v>
    <v>169.5</v>
    <v>174.875</v>
    <v>170.67500000000001</v>
    <v>162.85</v>
    <v>173.22499999999999</v>
    <v>168.92500000000001</v>
    <v>165.2</v>
    <v>169.27500000000001</v>
    <v>172.02500000000001</v>
    <v>178.02500000000001</v>
    <v>204.47499999999999</v>
    <v>208.92500000000001</v>
    <v>198.95</v>
    <v>181.32499999999999</v>
    <v>197.85</v>
    <v>210.95</v>
    <v>233.47499999999999</v>
    <v>240.07499999999999</v>
    <v>278.22500000000002</v>
    <v>287.32499999999999</v>
    <v>256.8</v>
    <v>253.17500000000001</v>
    <v>267.875</v>
    <v>259.22500000000002</v>
    <v>288.39999999999998</v>
    <v>277.14999999999998</v>
    <v>260.125</v>
    <v>255.25</v>
    <v>241.55</v>
    <v>235.7</v>
    <v>211.27500000000001</v>
    <v>204.07499999999999</v>
    <v>226.35</v>
    <v>232.35</v>
    <v>232.82499999999999</v>
    <v>242.375</v>
    <v>256.625</v>
    <v>252.82499999999999</v>
    <v>269.85000000000002</v>
    <v>249.17500000000001</v>
    <v>238.07499999999999</v>
    <v>216.5</v>
    <v>219.9</v>
    <v>224.125</v>
    <v>225.65</v>
    <v>224.22499999999999</v>
    <v>211.1</v>
    <v>219.57499999999999</v>
    <v>213.55</v>
    <v>240.05</v>
    <v>242.7</v>
    <v>254.5</v>
    <v>255.25</v>
    <v>272.02499999999998</v>
    <v>270.2</v>
    <v>267.67500000000001</v>
    <v>260.64999999999998</v>
    <v>270.52499999999998</v>
    <v>306.85000000000002</v>
    <v>299.14999999999998</v>
    <v>298.92500000000001</v>
    <v>297.7</v>
    <v>305.57499999999999</v>
    <v>299.05</v>
    <v>306.60000000000002</v>
    <v>292.75</v>
    <v>325.22500000000002</v>
    <v>325.85000000000002</v>
    <v>342.2</v>
    <v>343.65</v>
    <v>347.67500000000001</v>
    <v>344.77499999999998</v>
    <v>370.1</v>
    <v>315.07499999999999</v>
    <v>336</v>
    <v>324.8</v>
    <v>323.5</v>
    <v>309.82499999999999</v>
    <v>313.85000000000002</v>
    <v>318.875</v>
    <v>323.67500000000001</v>
    <v>323.45</v>
    <v>313.95</v>
    <v>306.75</v>
    <v>311.47500000000002</v>
    <v>304.77499999999998</v>
    <v>321.32499999999999</v>
    <v>322.27499999999998</v>
    <v>311.05</v>
    <v>303.07499999999999</v>
    <v>292.875</v>
    <v>303.72500000000002</v>
    <v>307.8</v>
    <v>328.65</v>
    <v>311.10000000000002</v>
    <v>298.95</v>
    <v>305.45</v>
    <v>343.75</v>
    <v>352.5</v>
    <v>345.65</v>
    <v>345.7</v>
    <v>358.2</v>
    <v>349.15</v>
    <v>353.65</v>
    <v>372.8</v>
    <v>395.7</v>
    <v>387.5</v>
    <v>418.2</v>
    <v>404.6</v>
    <v>418.25</v>
    <v>415.15</v>
    <v>400.5</v>
    <v>390.1</v>
    <v>388.65</v>
    <v>387.3</v>
    <v>386.65</v>
    <v>371.15</v>
    <v>368.3</v>
    <v>369</v>
    <v>375.55</v>
    <v>380.8</v>
    <v>370.1</v>
    <v>382.65</v>
    <v>392.2</v>
    <v>390.4</v>
    <v>399.35</v>
    <v>409.85</v>
    <v>427.8</v>
    <v>424.9</v>
    <v>406.45</v>
    <v>387.3</v>
    <v>377.85</v>
    <v>376.7</v>
    <v>369.25</v>
    <v>364.6</v>
    <v>348.6</v>
    <v>334.5</v>
    <v>302.5</v>
    <v>299.05</v>
    <v>284.64999999999998</v>
    <v>352.2</v>
    <v>337.3</v>
    <v>319.75</v>
    <v>318.55</v>
    <v>316.25</v>
    <v>317.25</v>
    <v>318.85000000000002</v>
    <v>327.10000000000002</v>
    <v>313.3</v>
    <v>323.10000000000002</v>
    <v>328.65</v>
    <v>323.7</v>
    <v>320.64999999999998</v>
    <v>344.65</v>
    <v>338.8</v>
    <v>357.85</v>
    <v>351.95</v>
    <v>360.7</v>
    <v>343.35</v>
    <v>325.39999999999998</v>
    <v>336.95</v>
    <v>321.64999999999998</v>
    <v>333.7</v>
    <v>350.9</v>
    <v>348.1</v>
    <v>342.55</v>
    <v>333.85</v>
    <v>332.2</v>
    <v>326.75</v>
    <v>301.5</v>
    <v>341.2</v>
    <v>362.6</v>
    <v>339.6</v>
    <v>315.35000000000002</v>
    <v>338.3</v>
    <v>340.45</v>
    <v>346.25</v>
    <v>325.14999999999998</v>
    <v>338.7</v>
    <v>332.2</v>
    <v>305</v>
    <v>321.5</v>
    <v>309.5</v>
    <v>316.14999999999998</v>
    <v>303.95</v>
    <v>285.75</v>
    <v>279.3</v>
    <v>269.85000000000002</v>
    <v>263.89999999999998</v>
    <v>254</v>
    <v>269.85000000000002</v>
    <v>241.7</v>
    <v>258.52</v>
    <v>260.02999999999997</v>
    <v>291.14999999999998</v>
    <v>283.2</v>
    <v>284.60000000000002</v>
    <v>260.3</v>
    <v>273.35000000000002</v>
    <v>315</v>
    <v>349.05</v>
    <v>367.3</v>
    <v>383</v>
    <v>378.2</v>
    <v>382.2</v>
    <v>382</v>
    <v>424.6</v>
    <v>422.05</v>
    <v>417.35</v>
    <v>434.55</v>
    <v>453.1</v>
    <v>464.5</v>
    <v>458.85</v>
    <v>462.75</v>
    <v>467.75</v>
    <v>465.9</v>
    <v>489.7</v>
    <v>483.75</v>
    <v>490.8</v>
    <v>488.5</v>
    <v>493.65</v>
    <v>501.9</v>
    <v>519.1</v>
    <v>510.2</v>
    <v>520.1</v>
    <v>521.6</v>
    <v>519.6</v>
    <v>501.45</v>
    <v>474.15</v>
    <v>481.1</v>
    <v>486.25</v>
    <v>503.65</v>
    <v>470.45</v>
    <v>491.4</v>
    <v>459.95</v>
    <v>463.85</v>
    <v>465.5</v>
    <v>472.6</v>
    <v>458.85</v>
    <v>457.25</v>
    <v>451.4</v>
    <v>410.25</v>
    <v>429.25</v>
    <v>419.7</v>
    <v>422.1</v>
    <v>437.15</v>
    <v>456.7</v>
    <v>437.3</v>
    <v>423.75</v>
    <v>423.1</v>
    <v>436.3</v>
    <v>419.35</v>
    <v>417.7</v>
    <v>419.45</v>
    <v>418.15</v>
    <v>412.3</v>
    <v>407.05</v>
    <v>402.45</v>
    <v>393.65</v>
    <v>391</v>
    <v>393.45</v>
  </a>
  <a r="1" c="262">
    <v>2190.8872000000001</v>
    <v>2174.5191</v>
    <v>2130.2964999999999</v>
    <v>2123.9310999999998</v>
    <v>2119.6237000000001</v>
    <v>2106.9886000000001</v>
    <v>2158.1030999999998</v>
    <v>2101.8676</v>
    <v>2116.5128</v>
    <v>2112.5882999999999</v>
    <v>2153.3649999999998</v>
    <v>2143.2186999999999</v>
    <v>2126.0848000000001</v>
    <v>2068.7485000000001</v>
    <v>2010.9815000000001</v>
    <v>2034.8158000000001</v>
    <v>2025.4351999999999</v>
    <v>2109.1902</v>
    <v>2001.5531000000001</v>
    <v>1971.0183999999999</v>
    <v>1971.5447999999999</v>
    <v>1905.6895</v>
    <v>1889.6085</v>
    <v>1957.9047</v>
    <v>1914.1606999999999</v>
    <v>1895.0166999999999</v>
    <v>1885.9712</v>
    <v>1851.4640999999999</v>
    <v>1821.0251000000001</v>
    <v>1809.5387000000001</v>
    <v>1855.9150999999999</v>
    <v>1790.5382999999999</v>
    <v>1758.1370999999999</v>
    <v>1868.598</v>
    <v>1857.8773000000001</v>
    <v>1861.6583000000001</v>
    <v>1840.4084</v>
    <v>1832.8466000000001</v>
    <v>1814.1812</v>
    <v>1807.6722</v>
    <v>1798.0523000000001</v>
    <v>1752.346</v>
    <v>1688.9793999999999</v>
    <v>1708.4584</v>
    <v>1663.8050000000001</v>
    <v>1718.8440000000001</v>
    <v>1709.3678</v>
    <v>1628.7715000000001</v>
    <v>1704.6775</v>
    <v>1796.9516000000001</v>
    <v>1815.1384</v>
    <v>1837.9675999999999</v>
    <v>1842.3706999999999</v>
    <v>1861.7539999999999</v>
    <v>1825.1890000000001</v>
    <v>1835.4789000000001</v>
    <v>1816.8613</v>
    <v>1856.0108</v>
    <v>1857.3030000000001</v>
    <v>1932.9218000000001</v>
    <v>2041.229</v>
    <v>2064.3454000000002</v>
    <v>2111.2482</v>
    <v>2129.1478000000002</v>
    <v>1958.5269000000001</v>
    <v>2046.9242999999999</v>
    <v>2039.6017999999999</v>
    <v>2015.0974000000001</v>
    <v>2174.0405000000001</v>
    <v>2239.8000999999999</v>
    <v>2211.1320000000001</v>
    <v>2198.3054999999999</v>
    <v>2154.8008</v>
    <v>2179.2094000000002</v>
    <v>2096.7945</v>
    <v>2124.5533</v>
    <v>2116.4171000000001</v>
    <v>2129.9614000000001</v>
    <v>2162.4105</v>
    <v>2145.6116999999999</v>
    <v>2115.6992</v>
    <v>2216.2051999999999</v>
    <v>2084.5902000000001</v>
    <v>2100.4796999999999</v>
    <v>2091.3384000000001</v>
    <v>2183.2296000000001</v>
    <v>2205.6759999999999</v>
    <v>2251.7172999999998</v>
    <v>2202.0864999999999</v>
    <v>2135.9439000000002</v>
    <v>2205.2451999999998</v>
    <v>2204.9101999999998</v>
    <v>2225.2028</v>
    <v>2305.4641000000001</v>
    <v>2364.7147</v>
    <v>2329.8247999999999</v>
    <v>2392.1385</v>
    <v>2348.1073000000001</v>
    <v>2255.7375000000002</v>
    <v>2347.4850999999999</v>
    <v>2347.3416000000002</v>
    <v>2328.7240000000002</v>
    <v>2408.5545000000002</v>
    <v>2624.4987999999998</v>
    <v>2567.4497000000001</v>
    <v>2602.9618</v>
    <v>2701.9841999999999</v>
    <v>2698.3946999999998</v>
    <v>2705.6694000000002</v>
    <v>2646.3229999999999</v>
    <v>2619.4256999999998</v>
    <v>2591.5711000000001</v>
    <v>2484.2212</v>
    <v>2412.2397000000001</v>
    <v>2401.2319000000002</v>
    <v>2400.5140000000001</v>
    <v>2375.6747</v>
    <v>2337.3388</v>
    <v>2317.7161999999998</v>
    <v>2338.0088999999998</v>
    <v>2347.7244000000001</v>
    <v>2374.9088999999999</v>
    <v>2370.5536999999999</v>
    <v>2375.3397</v>
    <v>2452.0113999999999</v>
    <v>2444.9281000000001</v>
    <v>2456.0315999999998</v>
    <v>2495.8510999999999</v>
    <v>2545.1948000000002</v>
    <v>2547.5877999999998</v>
    <v>2565.8703</v>
    <v>2483.6947</v>
    <v>2567.6889999999999</v>
    <v>2752.8114999999998</v>
    <v>2718.8787000000002</v>
    <v>2616.6019000000001</v>
    <v>2414.6806000000001</v>
    <v>2315.1795999999999</v>
    <v>2292.3982999999998</v>
    <v>2357.105</v>
    <v>2282.6347999999998</v>
    <v>2366.7727</v>
    <v>2350.596</v>
    <v>2303.2624999999998</v>
    <v>2337.4823999999999</v>
    <v>2406.9272999999998</v>
    <v>2388.0225999999998</v>
    <v>2504.1788000000001</v>
    <v>2462.2055999999998</v>
    <v>2455.7444999999998</v>
    <v>2543.7111</v>
    <v>2726.297</v>
    <v>2793.5403000000001</v>
    <v>2714.0448999999999</v>
    <v>2817.9488999999999</v>
    <v>2761.5219999999999</v>
    <v>2719.9317000000001</v>
    <v>2749.4612999999999</v>
    <v>2984.0709999999999</v>
    <v>3201.4989999999998</v>
    <v>3052.7022000000002</v>
    <v>3131.5754999999999</v>
    <v>3316.8416000000002</v>
    <v>3608.9789999999998</v>
    <v>3532.5945000000002</v>
    <v>3548.3883000000001</v>
    <v>3620.944</v>
    <v>3657.174</v>
    <v>3946.4398999999999</v>
    <v>3743.4656</v>
    <v>3553.7964000000002</v>
    <v>4325.1081999999997</v>
    <v>3916.8145</v>
    <v>3490.2384000000002</v>
    <v>3483.2507999999998</v>
    <v>3548.5318000000002</v>
    <v>3517.2793000000001</v>
    <v>3396.2892000000002</v>
    <v>3439.4110000000001</v>
    <v>3263.1426999999999</v>
    <v>3350.2478999999998</v>
    <v>3575.4769999999999</v>
    <v>3676.2701999999999</v>
    <v>3687.5650999999998</v>
    <v>3634.3926999999999</v>
    <v>3465.2076000000002</v>
    <v>3110.3256999999999</v>
    <v>3117.6482999999998</v>
    <v>2977.1313</v>
    <v>3148.7094000000002</v>
    <v>2990.7714000000001</v>
    <v>3230.8850000000002</v>
    <v>3444.0056</v>
    <v>3353.7415999999998</v>
    <v>3360.2026999999998</v>
    <v>3344.9353999999998</v>
    <v>3415.4810000000002</v>
    <v>3302.34</v>
    <v>3282.8130999999998</v>
    <v>3444.3885</v>
    <v>3442.0911999999998</v>
    <v>3202.5998</v>
    <v>3101.0408000000002</v>
    <v>3099.7008000000001</v>
    <v>2966.8413999999998</v>
    <v>3272.2838999999999</v>
    <v>3294.2037999999998</v>
    <v>3486.6967</v>
    <v>3477.1246999999998</v>
    <v>3605.5810000000001</v>
    <v>3480.2835</v>
    <v>3488.6111000000001</v>
    <v>3421</v>
    <v>3399.6</v>
    <v>3410.6</v>
    <v>3382.8</v>
    <v>3366.2</v>
    <v>3374.8</v>
    <v>3354.6</v>
    <v>3343.8</v>
    <v>3344.9</v>
    <v>3395.4</v>
    <v>3283.5</v>
    <v>3241.7</v>
    <v>3262.3</v>
    <v>3359.3</v>
    <v>3385</v>
    <v>3310.8</v>
    <v>3513.4</v>
    <v>3601.2</v>
    <v>3149.4</v>
    <v>3123.8</v>
    <v>3211.6</v>
    <v>3133.9</v>
    <v>3088.8</v>
    <v>2938.6</v>
    <v>2800</v>
    <v>2918.6</v>
    <v>2950.9</v>
    <v>3054.4</v>
    <v>2935.3</v>
    <v>2774.8</v>
    <v>2866</v>
    <v>2885.1</v>
    <v>2947.5</v>
    <v>2991.8</v>
    <v>2975.7</v>
    <v>2925.3</v>
    <v>2947.8</v>
    <v>2950.7</v>
    <v>2949.4</v>
    <v>2936.8</v>
    <v>2897</v>
    <v>3151.8</v>
    <v>3110.9</v>
    <v>3168.4</v>
    <v>3291.8</v>
    <v>3199.1</v>
    <v>3276.6</v>
    <v>2933.5</v>
    <v>3034.1</v>
    <v>2943.9</v>
  </a>
</arrayData>
</file>

<file path=xl/richData/rdrichvalue.xml><?xml version="1.0" encoding="utf-8"?>
<rvData xmlns="http://schemas.microsoft.com/office/spreadsheetml/2017/richdata" count="2095">
  <rv s="0">
    <v>https://www.bing.com/financeapi/forcetrigger?t=ahgz6h&amp;q=XNSE%3aASIANPAINT&amp;form=skydnc</v>
    <v>Learn more on Bing</v>
  </rv>
  <rv s="1">
    <v>en-IN</v>
    <v>ahgz6h</v>
    <v>268435456</v>
    <v>1</v>
    <v>Powered by Refinitiv</v>
    <v>0</v>
    <v>ASIAN PAINTS LIMITED (XNSE:ASIANPAINT)</v>
    <v>2</v>
    <v>3</v>
    <v>Finance</v>
    <v>4</v>
    <v>2985.7</v>
    <v>2115</v>
    <v>1.1282000000000001</v>
    <v>-23.4</v>
    <v>-9.8650000000000005E-3</v>
    <v>INR</v>
    <v>Asian Paints Limited is an India-based company which is engaged in the business of manufacturing, selling and distribution of paints, coatings, products related to home decor, bath fittings and providing related services. It operates through the Paints and Home Decor segment Nilaya Play and Nilaya Once Wall W.R.A.P. (Wear Resistant Advanced Polymer) product is a patented paint-film that is anti-bacterial, antifungal and water-resistant. Its services include Painting Services, Interior Solutions, Waterproofing Services, Sleek Kitchen, Bathroom Design &amp; Execution and Wood Solutions. Its segments include Decorative business, Home Decor business, International business and Industrial business. Its Interior Wall Products include Interior Paints, Interior Textures and Wallpapers. Its Exterior Wall Products include Exterior Paints and Exterior Textures. Its Waterproofing Products include Bathroom Waterproofing, Tiling and others. Its Other Surface product include Wood Finishes and others.</v>
    <v>11162</v>
    <v>National Stock Exchange of India</v>
    <v>XNSE</v>
    <v>XNSE</v>
    <v>6A &amp; 6B, Shantinagar, Santacruz (East), MUMBAI, MAHARASHTRA, 400055 IN</v>
    <v>2367</v>
    <v>Chemicals</v>
    <v>Stock</v>
    <v>46303.166284722225</v>
    <v>0</v>
    <v>2342</v>
    <v>2306978000000</v>
    <v>ASIAN PAINTS LIMITED</v>
    <v>ASIAN PAINTS LIMITED</v>
    <v>2364.4</v>
    <v>47.237400000000001</v>
    <v>2372.1</v>
    <v>2348.6999999999998</v>
    <v>958644300</v>
    <v>ASIANPAINT</v>
    <v>ASIAN PAINTS LIMITED (XNSE:ASIANPAINT)</v>
    <v>51235</v>
    <v>642290</v>
    <v>1945</v>
  </rv>
  <rv s="2">
    <v>1</v>
  </rv>
  <rv s="0">
    <v>https://www.bing.com/financeapi/forcetrigger?t=ahkqww&amp;q=NIFTY+50&amp;form=skydnc</v>
    <v>Learn more on Bing</v>
  </rv>
  <rv s="3">
    <v>en-IN</v>
    <v>ahkqww</v>
    <v>268435456</v>
    <v>1</v>
    <v>Powered by Refinitiv</v>
    <v>5</v>
    <v>NIFTY 50</v>
    <v>6</v>
    <v>7</v>
    <v>Finance</v>
    <v>8</v>
    <v>26373.200000000001</v>
    <v>22182.55</v>
    <v>-97.25</v>
    <v>-4.3030000000000004E-3</v>
    <v>IN</v>
    <v>22599.05</v>
    <v>Index</v>
    <v>3</v>
    <v>22475.75</v>
    <v>NIFTY 50</v>
    <v>22599.05</v>
    <v>22603.05</v>
    <v>22505.8</v>
    <v>NIFTY</v>
    <v>NIFTY 50</v>
  </rv>
  <rv s="2">
    <v>4</v>
  </rv>
  <rv s="0">
    <v>https://www.bing.com/financeapi/forcetrigger?t=ahikcw&amp;q=XNSE%3aKANSAINER&amp;form=skydnc</v>
    <v>Learn more on Bing</v>
  </rv>
  <rv s="1">
    <v>en-IN</v>
    <v>ahikcw</v>
    <v>268435456</v>
    <v>1</v>
    <v>Powered by Refinitiv</v>
    <v>0</v>
    <v>KANSAI NEROLAC PAINTS LIMITED (XNSE:KANSAINER)</v>
    <v>2</v>
    <v>3</v>
    <v>Finance</v>
    <v>4</v>
    <v>264</v>
    <v>157.91</v>
    <v>1.0671999999999999</v>
    <v>-4.0999999999999996</v>
    <v>-2.1309999999999999E-2</v>
    <v>INR</v>
    <v>Kansai Nerolac Paints Limited is an India-based paints and coating manufacturer, specializing in industrial coatings. The Company is engaged in manufacturing and supplying paints, varnishes, enamels and lacquers. Its product categories include interior wall paints, exterior wall paints, wood coatings, metal enamel paints, paint ancillary, adhesives, waterproofing, and NXTGEN painting services. Its NXTGEN painting services include trained and certified painters, extensive background check, clean and dust-free processes, start-to-end guidance by experts, expert color consultation, advanced color selection tools, on-site sanitation, and quotations based on requirement. The Company serves various sectors, including homes, automobiles, new segments (underbody coats, alloy wheels and seam sealers), consumer durables (fans, microwaves, refrigerators, washing machine), personal use articles (hair clips, artificial jewelry), or transportation infrastructure (bridges, metro rail).</v>
    <v>3804</v>
    <v>National Stock Exchange of India</v>
    <v>XNSE</v>
    <v>XNSE</v>
    <v>28th Floor, A - Wing, Marathon Futurex, Mafatlal Mills Compound, N M Joshi Marg, Area: Lower Parel, MUMBAI, MAHARASHTRA, 400013 IN</v>
    <v>192.4</v>
    <v>Chemicals</v>
    <v>Stock</v>
    <v>46303.166307870371</v>
    <v>6</v>
    <v>188.3</v>
    <v>141738500000</v>
    <v>KANSAI NEROLAC PAINTS LIMITED</v>
    <v>KANSAI NEROLAC PAINTS LIMITED</v>
    <v>192.4</v>
    <v>23.900200000000002</v>
    <v>192.4</v>
    <v>188.3</v>
    <v>808854600</v>
    <v>KANSAINER</v>
    <v>KANSAI NEROLAC PAINTS LIMITED (XNSE:KANSAINER)</v>
    <v>30890</v>
    <v>239310</v>
    <v>1920</v>
  </rv>
  <rv s="2">
    <v>7</v>
  </rv>
  <rv s="0">
    <v>https://www.bing.com/financeapi/forcetrigger?t=ahh5yc&amp;q=XNSE%3aBERGEPAINT&amp;form=skydnc</v>
    <v>Learn more on Bing</v>
  </rv>
  <rv s="1">
    <v>en-IN</v>
    <v>ahh5yc</v>
    <v>268435456</v>
    <v>1</v>
    <v>Powered by Refinitiv</v>
    <v>0</v>
    <v>BERGER PAINTS INDIA LIMITED (XNSE:BERGEPAINT)</v>
    <v>2</v>
    <v>3</v>
    <v>Finance</v>
    <v>4</v>
    <v>594.54999999999995</v>
    <v>391.1</v>
    <v>1.1467000000000001</v>
    <v>0.9</v>
    <v>1.9400000000000001E-3</v>
    <v>INR</v>
    <v>Berger Paints India Limited is an India-based company, which is engaged in the manufacturing and selling of paints. The Company offers products in categories, including interior wall coatings, exterior wall coatings, putty and cement paint, primers, enamels, wood finishes, and waterproofing. Its interior wall coatings include Silk Glamor Matt, Bison Glow, Silk GlamArt Metallica, and Ceiling White. Its exterior wall coatings include Weathercoat Long Life 15, Weathercoat Anti Dustt Kool, Walmasta Glow, Florentina Vintage, Weathercoat Long Life PU Tile Coat. Its putty and cement paint includes Bison Wall Putty and Durocem Extra. Its primaers include Silk Luxury Basecoat, BP Exterior Cement Primer, BP Cement Primer (ST), Luxol QD 1K Epoxy Primer, and Parrot Wood Primer. Its enamels include Luxol PU Enamel and Butterfly GP Enamel. Its SBL Specialty Coatings Private Limited, Beepee Coatings Private Limited, Berger Jenson &amp; Nicholson (Nepal) Private Limited, and STP Limited, among others.</v>
    <v>5105</v>
    <v>National Stock Exchange of India</v>
    <v>XNSE</v>
    <v>XNSE</v>
    <v>Berger House, 129 Part Street, KOLKATA, WEST BENGAL, 700017 IN</v>
    <v>468.2</v>
    <v>Chemicals</v>
    <v>Stock</v>
    <v>46303.166307870371</v>
    <v>9</v>
    <v>462.45</v>
    <v>527390100000</v>
    <v>BERGER PAINTS INDIA LIMITED</v>
    <v>BERGER PAINTS INDIA LIMITED</v>
    <v>465.9</v>
    <v>44.514699999999998</v>
    <v>463.9</v>
    <v>464.8</v>
    <v>1166003000</v>
    <v>BERGEPAINT</v>
    <v>BERGER PAINTS INDIA LIMITED (XNSE:BERGEPAINT)</v>
    <v>20401</v>
    <v>421760</v>
    <v>1923</v>
  </rv>
  <rv s="2">
    <v>10</v>
  </rv>
  <rv s="0">
    <v>https://www.bing.com/financeapi/forcetrigger?t=ahgtm7&amp;q=XNSE%3aAKZOINDIA&amp;form=skydnc</v>
    <v>Learn more on Bing</v>
  </rv>
  <rv s="1">
    <v>en-IN</v>
    <v>ahgtm7</v>
    <v>268435456</v>
    <v>1</v>
    <v>Powered by Refinitiv</v>
    <v>0</v>
    <v>JSW Dulux Limited (XNSE:JSWDULUX)</v>
    <v>2</v>
    <v>3</v>
    <v>Finance</v>
    <v>4</v>
    <v>3745</v>
    <v>2658.7</v>
    <v>0.39</v>
    <v>-13.2</v>
    <v>-4.359E-3</v>
    <v>INR</v>
    <v>JSW Dulux Limited, formerly Akzo Nobel India Limited, is an India-based company. The Company is engaged in the business of manufacturing paints, coatings and allied products. Its business units include Decorative Paints, Automotive &amp; Specialty Coatings (ASC), Powder Coatings, Industrial Coatings, Marine &amp; Protective Coatings. The decorative paint business offers paints, lacquers, and varnishes. It also supplies a range of tinting machines, color concepts and training initiatives for the building and renovation industry. ASC provides coating solutions for various industries in India, such as automotive original equipment manufacturer coatings, consumer electronics coatings, vehicle refinishes and specialty coatings. Its powder coating brands are Interpon and Resicoat. The industrial coatings business includes coil and extrusion coatings, packaging coatings, wood finishes and adhesives. Its portfolio brands include Dulux, International, Sikkens and Interpon.</v>
    <v>1156</v>
    <v>National Stock Exchange of India</v>
    <v>XNSE</v>
    <v>XNSE</v>
    <v>9th Floor, Magnum Towers, Golf Course Extension Road, Sector 58, GURGAON, HARYANA, 122011 IN</v>
    <v>3051.6</v>
    <v>Chemicals</v>
    <v>Stock</v>
    <v>46303.166284722225</v>
    <v>12</v>
    <v>3008.7</v>
    <v>137530500000</v>
    <v>JSW Dulux Limited</v>
    <v>JSW Dulux Limited</v>
    <v>3035</v>
    <v>6.9958999999999998</v>
    <v>3028.1</v>
    <v>3014.9</v>
    <v>45540310</v>
    <v>JSWDULUX</v>
    <v>JSW Dulux Limited (XNSE:JSWDULUX)</v>
    <v>734</v>
    <v>50750</v>
    <v>1954</v>
  </rv>
  <rv s="2">
    <v>13</v>
  </rv>
  <rv s="0">
    <v>https://www.bing.com/financeapi/forcetrigger?t=bxl9f2&amp;q=XNSE%3aINDIGOPNTS&amp;form=skydnc</v>
    <v>Learn more on Bing</v>
  </rv>
  <rv s="1">
    <v>en-IN</v>
    <v>bxl9f2</v>
    <v>268435456</v>
    <v>1</v>
    <v>Powered by Refinitiv</v>
    <v>0</v>
    <v>INDIGO PAINTS LIMITED (XNSE:INDIGOPNTS)</v>
    <v>2</v>
    <v>3</v>
    <v>Finance</v>
    <v>4</v>
    <v>1345.9</v>
    <v>708.05</v>
    <v>1.155</v>
    <v>-12.9</v>
    <v>-1.2168000000000002E-2</v>
    <v>INR</v>
    <v>Indigo Paints Limited (IPL) is engaged in the manufacture and sale of decorative paints, construction chemicals and waterproofing products. IPL operates in one segment, namely Paints. Its product offerings include interior emulsions, exterior emulsions, exterior &amp; interior emulsions, enamels, waterproofing solutions, sleek wood coatings, primers and putties, and private labels. It offers various other types of emulsion paints and enamels, such as dirtproof, waterproof exterior laminate, exterior and interior acrylic laminate, and polyurethane (PU) super gloss enamel. It also offers aluminum paints to paint surfaces of storage tanks, metal pipes, and metal roofs. Its products are sold under one brand name, Indigo. It has its investment in a subsidiary, Apple Chemie India Private Limited, which is engaged in the manufacture and sale of construction chemicals and waterproofing products. Its manufacturing facilities are in Jodhpur (Rajasthan), Kochi (Kerala), and Pudukkottai (Tamil Nadu).</v>
    <v>1188</v>
    <v>National Stock Exchange of India</v>
    <v>XNSE</v>
    <v>XNSE</v>
    <v>Street 5, Pallod Farms II, Baner, PUNE, MAHARASHTRA, 411045 IN</v>
    <v>1053.9000000000001</v>
    <v>Chemicals</v>
    <v>Stock</v>
    <v>46303.166273148148</v>
    <v>15</v>
    <v>1037.4000000000001</v>
    <v>50275890000</v>
    <v>INDIGO PAINTS LIMITED</v>
    <v>INDIGO PAINTS LIMITED</v>
    <v>1053.8</v>
    <v>31.020399999999999</v>
    <v>1060.2</v>
    <v>1047.3</v>
    <v>47732640</v>
    <v>INDIGOPNTS</v>
    <v>INDIGO PAINTS LIMITED (XNSE:INDIGOPNTS)</v>
    <v>2783</v>
    <v>49290</v>
    <v>2020</v>
  </rv>
  <rv s="2">
    <v>16</v>
  </rv>
  <rv s="0">
    <v>https://www.bing.com/financeapi/forcetrigger?t=b14qjc&amp;q=XNSE%3aSIRCA&amp;form=skydnc</v>
    <v>Learn more on Bing</v>
  </rv>
  <rv s="1">
    <v>en-IN</v>
    <v>b14qjc</v>
    <v>268435456</v>
    <v>1</v>
    <v>Powered by Refinitiv</v>
    <v>0</v>
    <v>SIRCA PAINTS INDIA LIMITED (XNSE:SIRCA)</v>
    <v>2</v>
    <v>3</v>
    <v>Finance</v>
    <v>4</v>
    <v>539</v>
    <v>385</v>
    <v>0.81399999999999995</v>
    <v>-2.65</v>
    <v>-6.4059999999999994E-3</v>
    <v>INR</v>
    <v>Sirca Paints India Limited provides wood coating products. The Company is engaged in the manufacturing and sales of wood coatings and other decorative paints, under its owned licensed brands, such as Sirca, Unico, San Marco and Durante Vivan. The Company operates through the manufacturing of wood wall paints &amp; related products segment. Its product range includes all polyurethane polish (PU) products, stains, special effects, acrylic PU, polyster, wall paints, U.V. products and others. It offers Amore Gloss Luxury Emulsion; Double Face Emulsion; Fresco Matt Luxury Emulsion; Fresco Plus Silk Emulsion; Rovere Economy Emulsion Interior; Serene Premium Emulsion Interior; Double Face Emulsion; Rossa Weatherproof Emulsion Exterior, and others. Its Wall Primer includes Luna Wall Primer Exterior; Cosmo Wall Primer Interior / Exterior; Finesse Wall Primer Interior, and Primo Oil Primer. Its Wall Putty is an all-paints compatible putty suitable for both exterior and interior surfaces.</v>
    <v>812</v>
    <v>National Stock Exchange of India</v>
    <v>XNSE</v>
    <v>XNSE</v>
    <v>G-82, Kirti Nagar, DELHI, DELHI, 110015 IN</v>
    <v>413</v>
    <v>Chemicals</v>
    <v>Stock</v>
    <v>46303.166215277779</v>
    <v>18</v>
    <v>410.65</v>
    <v>22800410000</v>
    <v>SIRCA PAINTS INDIA LIMITED</v>
    <v>SIRCA PAINTS INDIA LIMITED</v>
    <v>413</v>
    <v>34.424599999999998</v>
    <v>413.7</v>
    <v>411.05</v>
    <v>56792800</v>
    <v>SIRCA</v>
    <v>SIRCA PAINTS INDIA LIMITED (XNSE:SIRCA)</v>
    <v>5887</v>
    <v>154540</v>
    <v>2006</v>
  </rv>
  <rv s="2">
    <v>19</v>
  </rv>
  <rv s="4">
    <fb>44396</fb>
    <v>9</v>
  </rv>
  <rv s="4">
    <fb>3083.75</fb>
    <v>10</v>
  </rv>
  <rv s="4">
    <fb>15856.05</fb>
    <v>10</v>
  </rv>
  <rv s="4">
    <fb>413.86790000000002</fb>
    <v>10</v>
  </rv>
  <rv s="4">
    <fb>711.87220000000002</fb>
    <v>10</v>
  </rv>
  <rv s="4">
    <fb>2190.8872000000001</fb>
    <v>10</v>
  </rv>
  <rv s="4">
    <fb>2599.6</fb>
    <v>10</v>
  </rv>
  <rv s="4">
    <fb>173.875</fb>
    <v>10</v>
  </rv>
  <rv s="4">
    <fb>44403</fb>
    <v>9</v>
  </rv>
  <rv s="4">
    <fb>2958.45</fb>
    <v>10</v>
  </rv>
  <rv s="4">
    <fb>15763.05</fb>
    <v>10</v>
  </rv>
  <rv s="4">
    <fb>415.12790000000001</fb>
    <v>10</v>
  </rv>
  <rv s="4">
    <fb>702.95550000000003</fb>
    <v>10</v>
  </rv>
  <rv s="4">
    <fb>2174.5191</fb>
    <v>10</v>
  </rv>
  <rv s="4">
    <fb>2605.1</fb>
    <v>10</v>
  </rv>
  <rv s="4">
    <fb>169.5</fb>
    <v>10</v>
  </rv>
  <rv s="4">
    <fb>44410</fb>
    <v>9</v>
  </rv>
  <rv s="4">
    <fb>2966.45</fb>
    <v>10</v>
  </rv>
  <rv s="4">
    <fb>16238.2</fb>
    <v>10</v>
  </rv>
  <rv s="4">
    <fb>422.12470000000002</fb>
    <v>10</v>
  </rv>
  <rv s="4">
    <fb>689.8306</fb>
    <v>10</v>
  </rv>
  <rv s="4">
    <fb>2130.2964999999999</fb>
    <v>10</v>
  </rv>
  <rv s="4">
    <fb>2624.4</fb>
    <v>10</v>
  </rv>
  <rv s="4">
    <fb>174.875</fb>
    <v>10</v>
  </rv>
  <rv s="4">
    <fb>44417</fb>
    <v>9</v>
  </rv>
  <rv s="4">
    <fb>2988.7</fb>
    <v>10</v>
  </rv>
  <rv s="4">
    <fb>16529.099999999999</fb>
    <v>10</v>
  </rv>
  <rv s="4">
    <fb>416.55380000000002</fb>
    <v>10</v>
  </rv>
  <rv s="4">
    <fb>675.9556</fb>
    <v>10</v>
  </rv>
  <rv s="4">
    <fb>2123.9310999999998</fb>
    <v>10</v>
  </rv>
  <rv s="4">
    <fb>2422.15</fb>
    <v>10</v>
  </rv>
  <rv s="4">
    <fb>170.67500000000001</fb>
    <v>10</v>
  </rv>
  <rv s="4">
    <fb>44424</fb>
    <v>9</v>
  </rv>
  <rv s="4">
    <fb>3112.95</fb>
    <v>10</v>
  </rv>
  <rv s="4">
    <fb>16450.5</fb>
    <v>10</v>
  </rv>
  <rv s="4">
    <fb>414.8295</fb>
    <v>10</v>
  </rv>
  <rv s="4">
    <fb>682.7056</fb>
    <v>10</v>
  </rv>
  <rv s="4">
    <fb>2119.6237000000001</fb>
    <v>10</v>
  </rv>
  <rv s="4">
    <fb>2433</fb>
    <v>10</v>
  </rv>
  <rv s="4">
    <fb>162.85</fb>
    <v>10</v>
  </rv>
  <rv s="4">
    <fb>44431</fb>
    <v>9</v>
  </rv>
  <rv s="4">
    <fb>3036.8</fb>
    <v>10</v>
  </rv>
  <rv s="4">
    <fb>44432</fb>
    <v>9</v>
  </rv>
  <rv s="4">
    <fb>16705.2</fb>
    <v>10</v>
  </rv>
  <rv s="4">
    <fb>412.6078</fb>
    <v>10</v>
  </rv>
  <rv s="4">
    <fb>654.87239999999997</fb>
    <v>10</v>
  </rv>
  <rv s="4">
    <fb>2106.9886000000001</fb>
    <v>10</v>
  </rv>
  <rv s="4">
    <fb>2590.6</fb>
    <v>10</v>
  </rv>
  <rv s="4">
    <fb>173.22499999999999</fb>
    <v>10</v>
  </rv>
  <rv s="4">
    <fb>44438</fb>
    <v>9</v>
  </rv>
  <rv s="4">
    <fb>3338.8</fb>
    <v>10</v>
  </rv>
  <rv s="4">
    <fb>17323.599999999999</fb>
    <v>10</v>
  </rv>
  <rv s="4">
    <fb>410.88350000000003</fb>
    <v>10</v>
  </rv>
  <rv s="4">
    <fb>692.78890000000001</fb>
    <v>10</v>
  </rv>
  <rv s="4">
    <fb>2158.1030999999998</fb>
    <v>10</v>
  </rv>
  <rv s="4">
    <fb>2626.05</fb>
    <v>10</v>
  </rv>
  <rv s="4">
    <fb>168.92500000000001</fb>
    <v>10</v>
  </rv>
  <rv s="4">
    <fb>44445</fb>
    <v>9</v>
  </rv>
  <rv s="4">
    <fb>3346.35</fb>
    <v>10</v>
  </rv>
  <rv s="4">
    <fb>17369.25</fb>
    <v>10</v>
  </rv>
  <rv s="4">
    <fb>405.3458</fb>
    <v>10</v>
  </rv>
  <rv s="4">
    <fb>697.12220000000002</fb>
    <v>10</v>
  </rv>
  <rv s="4">
    <fb>2101.8676</fb>
    <v>10</v>
  </rv>
  <rv s="4">
    <fb>2590.15</fb>
    <v>10</v>
  </rv>
  <rv s="4">
    <fb>165.2</fb>
    <v>10</v>
  </rv>
  <rv s="4">
    <fb>44452</fb>
    <v>9</v>
  </rv>
  <rv s="4">
    <fb>3303.05</fb>
    <v>10</v>
  </rv>
  <rv s="4">
    <fb>17585.150000000001</fb>
    <v>10</v>
  </rv>
  <rv s="4">
    <fb>407.1696</fb>
    <v>10</v>
  </rv>
  <rv s="4">
    <fb>682.28890000000001</fb>
    <v>10</v>
  </rv>
  <rv s="4">
    <fb>2116.5128</fb>
    <v>10</v>
  </rv>
  <rv s="4">
    <fb>2605.35</fb>
    <v>10</v>
  </rv>
  <rv s="4">
    <fb>169.27500000000001</fb>
    <v>10</v>
  </rv>
  <rv s="4">
    <fb>44459</fb>
    <v>9</v>
  </rv>
  <rv s="4">
    <fb>3448.6</fb>
    <v>10</v>
  </rv>
  <rv s="4">
    <fb>17853.2</fb>
    <v>10</v>
  </rv>
  <rv s="4">
    <fb>416.91860000000003</fb>
    <v>10</v>
  </rv>
  <rv s="4">
    <fb>700.08050000000003</fb>
    <v>10</v>
  </rv>
  <rv s="4">
    <fb>2112.5882999999999</fb>
    <v>10</v>
  </rv>
  <rv s="4">
    <fb>2587.85</fb>
    <v>10</v>
  </rv>
  <rv s="4">
    <fb>172.02500000000001</fb>
    <v>10</v>
  </rv>
  <rv s="4">
    <fb>44466</fb>
    <v>9</v>
  </rv>
  <rv s="4">
    <fb>3177.85</fb>
    <v>10</v>
  </rv>
  <rv s="4">
    <fb>17532.05</fb>
    <v>10</v>
  </rv>
  <rv s="4">
    <fb>422.5557</fb>
    <v>10</v>
  </rv>
  <rv s="4">
    <fb>675.3306</fb>
    <v>10</v>
  </rv>
  <rv s="4">
    <fb>2153.3649999999998</fb>
    <v>10</v>
  </rv>
  <rv s="4">
    <fb>2526.3000000000002</fb>
    <v>10</v>
  </rv>
  <rv s="4">
    <fb>178.02500000000001</fb>
    <v>10</v>
  </rv>
  <rv s="4">
    <fb>44473</fb>
    <v>9</v>
  </rv>
  <rv s="4">
    <fb>3306.9</fb>
    <v>10</v>
  </rv>
  <rv s="4">
    <fb>17895.2</fb>
    <v>10</v>
  </rv>
  <rv s="4">
    <fb>418.94130000000001</fb>
    <v>10</v>
  </rv>
  <rv s="4">
    <fb>691.9556</fb>
    <v>10</v>
  </rv>
  <rv s="4">
    <fb>2143.2186999999999</fb>
    <v>10</v>
  </rv>
  <rv s="4">
    <fb>2533.3000000000002</fb>
    <v>10</v>
  </rv>
  <rv s="4">
    <fb>204.47499999999999</fb>
    <v>10</v>
  </rv>
  <rv s="4">
    <fb>44480</fb>
    <v>9</v>
  </rv>
  <rv s="4">
    <fb>3297.8</fb>
    <v>10</v>
  </rv>
  <rv s="4">
    <fb>18338.55</fb>
    <v>10</v>
  </rv>
  <rv s="4">
    <fb>402.69299999999998</fb>
    <v>10</v>
  </rv>
  <rv s="4">
    <fb>698.70550000000003</fb>
    <v>10</v>
  </rv>
  <rv s="4">
    <fb>2126.0848000000001</fb>
    <v>10</v>
  </rv>
  <rv s="4">
    <fb>2508</fb>
    <v>10</v>
  </rv>
  <rv s="4">
    <fb>208.92500000000001</fb>
    <v>10</v>
  </rv>
  <rv s="4">
    <fb>44487</fb>
    <v>9</v>
  </rv>
  <rv s="4">
    <fb>2982.4</fb>
    <v>10</v>
  </rv>
  <rv s="4">
    <fb>18114.900000000001</fb>
    <v>10</v>
  </rv>
  <rv s="4">
    <fb>364.65870000000001</fb>
    <v>10</v>
  </rv>
  <rv s="4">
    <fb>613.70590000000004</fb>
    <v>10</v>
  </rv>
  <rv s="4">
    <fb>2068.7485000000001</fb>
    <v>10</v>
  </rv>
  <rv s="4">
    <fb>2420.8000000000002</fb>
    <v>10</v>
  </rv>
  <rv s="4">
    <fb>198.95</fb>
    <v>10</v>
  </rv>
  <rv s="4">
    <fb>44494</fb>
    <v>9</v>
  </rv>
  <rv s="4">
    <fb>3100.1</fb>
    <v>10</v>
  </rv>
  <rv s="4">
    <fb>17671.650000000001</fb>
    <v>10</v>
  </rv>
  <rv s="4">
    <fb>361.4753</fb>
    <v>10</v>
  </rv>
  <rv s="4">
    <fb>617.91420000000005</fb>
    <v>10</v>
  </rv>
  <rv s="4">
    <fb>2010.9815000000001</fb>
    <v>10</v>
  </rv>
  <rv s="4">
    <fb>2390.35</fb>
    <v>10</v>
  </rv>
  <rv s="4">
    <fb>181.32499999999999</fb>
    <v>10</v>
  </rv>
  <rv s="4">
    <fb>44501</fb>
    <v>9</v>
  </rv>
  <rv s="4">
    <fb>3159.25</fb>
    <v>10</v>
  </rv>
  <rv s="4">
    <fb>17916.8</fb>
    <v>10</v>
  </rv>
  <rv s="4">
    <fb>381.23860000000002</fb>
    <v>10</v>
  </rv>
  <rv s="4">
    <fb>635.83079999999995</fb>
    <v>10</v>
  </rv>
  <rv s="4">
    <fb>2034.8158000000001</fb>
    <v>10</v>
  </rv>
  <rv s="4">
    <fb>2349.85</fb>
    <v>10</v>
  </rv>
  <rv s="4">
    <fb>197.85</fb>
    <v>10</v>
  </rv>
  <rv s="4">
    <fb>44508</fb>
    <v>9</v>
  </rv>
  <rv s="4">
    <fb>3122.9</fb>
    <v>10</v>
  </rv>
  <rv s="4">
    <fb>18102.75</fb>
    <v>10</v>
  </rv>
  <rv s="4">
    <fb>395.63</fb>
    <v>10</v>
  </rv>
  <rv s="4">
    <fb>662.08069999999998</fb>
    <v>10</v>
  </rv>
  <rv s="4">
    <fb>2025.4351999999999</fb>
    <v>10</v>
  </rv>
  <rv s="4">
    <fb>2298.6999999999998</fb>
    <v>10</v>
  </rv>
  <rv s="4">
    <fb>210.95</fb>
    <v>10</v>
  </rv>
  <rv s="4">
    <fb>44515</fb>
    <v>9</v>
  </rv>
  <rv s="4">
    <fb>3226.85</fb>
    <v>10</v>
  </rv>
  <rv s="4">
    <fb>17764.8</fb>
    <v>10</v>
  </rv>
  <rv s="4">
    <fb>391.88290000000001</fb>
    <v>10</v>
  </rv>
  <rv s="4">
    <fb>656.78899999999999</fb>
    <v>10</v>
  </rv>
  <rv s="4">
    <fb>2109.1902</fb>
    <v>10</v>
  </rv>
  <rv s="4">
    <fb>2300.6999999999998</fb>
    <v>10</v>
  </rv>
  <rv s="4">
    <fb>233.47499999999999</fb>
    <v>10</v>
  </rv>
  <rv s="4">
    <fb>44522</fb>
    <v>9</v>
  </rv>
  <rv s="4">
    <fb>3143.1</fb>
    <v>10</v>
  </rv>
  <rv s="4">
    <fb>17026.45</fb>
    <v>10</v>
  </rv>
  <rv s="4">
    <fb>384.58769999999998</fb>
    <v>10</v>
  </rv>
  <rv s="4">
    <fb>635.08079999999995</fb>
    <v>10</v>
  </rv>
  <rv s="4">
    <fb>2001.5531000000001</fb>
    <v>10</v>
  </rv>
  <rv s="4">
    <fb>2234.1</fb>
    <v>10</v>
  </rv>
  <rv s="4">
    <fb>240.07499999999999</fb>
    <v>10</v>
  </rv>
  <rv s="4">
    <fb>44529</fb>
    <v>9</v>
  </rv>
  <rv s="4">
    <fb>3110.45</fb>
    <v>10</v>
  </rv>
  <rv s="4">
    <fb>17196.7</fb>
    <v>10</v>
  </rv>
  <rv s="4">
    <fb>394.5025</fb>
    <v>10</v>
  </rv>
  <rv s="4">
    <fb>608.28920000000005</fb>
    <v>10</v>
  </rv>
  <rv s="4">
    <fb>1971.0183999999999</fb>
    <v>10</v>
  </rv>
  <rv s="4">
    <fb>2208.6999999999998</fb>
    <v>10</v>
  </rv>
  <rv s="4">
    <fb>278.22500000000002</fb>
    <v>10</v>
  </rv>
  <rv s="4">
    <fb>44536</fb>
    <v>9</v>
  </rv>
  <rv s="4">
    <fb>3283.15</fb>
    <v>10</v>
  </rv>
  <rv s="4">
    <fb>17511.3</fb>
    <v>10</v>
  </rv>
  <rv s="4">
    <fb>395.96159999999998</fb>
    <v>10</v>
  </rv>
  <rv s="4">
    <fb>635.41409999999996</fb>
    <v>10</v>
  </rv>
  <rv s="4">
    <fb>1971.5447999999999</fb>
    <v>10</v>
  </rv>
  <rv s="4">
    <fb>2071.75</fb>
    <v>10</v>
  </rv>
  <rv s="4">
    <fb>287.32499999999999</fb>
    <v>10</v>
  </rv>
  <rv s="4">
    <fb>44543</fb>
    <v>9</v>
  </rv>
  <rv s="4">
    <fb>3243.7</fb>
    <v>10</v>
  </rv>
  <rv s="4">
    <fb>16985.2</fb>
    <v>10</v>
  </rv>
  <rv s="4">
    <fb>391.18650000000002</fb>
    <v>10</v>
  </rv>
  <rv s="4">
    <fb>627.70579999999995</fb>
    <v>10</v>
  </rv>
  <rv s="4">
    <fb>1905.6895</fb>
    <v>10</v>
  </rv>
  <rv s="4">
    <fb>2036.8</fb>
    <v>10</v>
  </rv>
  <rv s="4">
    <fb>256.8</fb>
    <v>10</v>
  </rv>
  <rv s="4">
    <fb>44550</fb>
    <v>9</v>
  </rv>
  <rv s="4">
    <fb>3284.8</fb>
    <v>10</v>
  </rv>
  <rv s="4">
    <fb>17003.75</fb>
    <v>10</v>
  </rv>
  <rv s="4">
    <fb>381.86860000000001</fb>
    <v>10</v>
  </rv>
  <rv s="4">
    <fb>617.41420000000005</fb>
    <v>10</v>
  </rv>
  <rv s="4">
    <fb>1889.6085</fb>
    <v>10</v>
  </rv>
  <rv s="4">
    <fb>1914.15</fb>
    <v>10</v>
  </rv>
  <rv s="4">
    <fb>253.17500000000001</fb>
    <v>10</v>
  </rv>
  <rv s="4">
    <fb>44557</fb>
    <v>9</v>
  </rv>
  <rv s="4">
    <fb>3382.95</fb>
    <v>10</v>
  </rv>
  <rv s="4">
    <fb>17354.05</fb>
    <v>10</v>
  </rv>
  <rv s="4">
    <fb>392.08190000000002</fb>
    <v>10</v>
  </rv>
  <rv s="4">
    <fb>643.12239999999997</fb>
    <v>10</v>
  </rv>
  <rv s="4">
    <fb>1957.9047</fb>
    <v>10</v>
  </rv>
  <rv s="4">
    <fb>2130.75</fb>
    <v>10</v>
  </rv>
  <rv s="4">
    <fb>267.875</fb>
    <v>10</v>
  </rv>
  <rv s="4">
    <fb>44564</fb>
    <v>9</v>
  </rv>
  <rv s="4">
    <fb>3576.3</fb>
    <v>10</v>
  </rv>
  <rv s="4">
    <fb>17812.7</fb>
    <v>10</v>
  </rv>
  <rv s="4">
    <fb>396.52530000000002</fb>
    <v>10</v>
  </rv>
  <rv s="4">
    <fb>658.95569999999998</fb>
    <v>10</v>
  </rv>
  <rv s="4">
    <fb>1914.1606999999999</fb>
    <v>10</v>
  </rv>
  <rv s="4">
    <fb>2062.5500000000002</fb>
    <v>10</v>
  </rv>
  <rv s="4">
    <fb>259.22500000000002</fb>
    <v>10</v>
  </rv>
  <rv s="4">
    <fb>44571</fb>
    <v>9</v>
  </rv>
  <rv s="4">
    <fb>3364.4</fb>
    <v>10</v>
  </rv>
  <rv s="4">
    <fb>18255.75</fb>
    <v>10</v>
  </rv>
  <rv s="4">
    <fb>404.8152</fb>
    <v>10</v>
  </rv>
  <rv s="4">
    <fb>642.78909999999996</fb>
    <v>10</v>
  </rv>
  <rv s="4">
    <fb>1895.0166999999999</fb>
    <v>10</v>
  </rv>
  <rv s="4">
    <fb>2072.1</fb>
    <v>10</v>
  </rv>
  <rv s="4">
    <fb>288.39999999999998</fb>
    <v>10</v>
  </rv>
  <rv s="4">
    <fb>44578</fb>
    <v>9</v>
  </rv>
  <rv s="4">
    <fb>3274.85</fb>
    <v>10</v>
  </rv>
  <rv s="4">
    <fb>17617.150000000001</fb>
    <v>10</v>
  </rv>
  <rv s="4">
    <fb>381.8023</fb>
    <v>10</v>
  </rv>
  <rv s="4">
    <fb>620.62249999999995</fb>
    <v>10</v>
  </rv>
  <rv s="4">
    <fb>1885.9712</fb>
    <v>10</v>
  </rv>
  <rv s="4">
    <fb>2014.15</fb>
    <v>10</v>
  </rv>
  <rv s="4">
    <fb>277.14999999999998</fb>
    <v>10</v>
  </rv>
  <rv s="4">
    <fb>44585</fb>
    <v>9</v>
  </rv>
  <rv s="4">
    <fb>3110.85</fb>
    <v>10</v>
  </rv>
  <rv s="4">
    <fb>17101.95</fb>
    <v>10</v>
  </rv>
  <rv s="4">
    <fb>378.28739999999999</fb>
    <v>10</v>
  </rv>
  <rv s="4">
    <fb>605.33090000000004</fb>
    <v>10</v>
  </rv>
  <rv s="4">
    <fb>1851.4640999999999</fb>
    <v>10</v>
  </rv>
  <rv s="4">
    <fb>1959.35</fb>
    <v>10</v>
  </rv>
  <rv s="4">
    <fb>260.125</fb>
    <v>10</v>
  </rv>
  <rv s="4">
    <fb>44592</fb>
    <v>9</v>
  </rv>
  <rv s="4">
    <fb>3236.65</fb>
    <v>10</v>
  </rv>
  <rv s="4">
    <fb>17516.3</fb>
    <v>10</v>
  </rv>
  <rv s="4">
    <fb>358.59039999999999</fb>
    <v>10</v>
  </rv>
  <rv s="4">
    <fb>612.66420000000005</fb>
    <v>10</v>
  </rv>
  <rv s="4">
    <fb>1821.0251000000001</fb>
    <v>10</v>
  </rv>
  <rv s="4">
    <fb>1977.55</fb>
    <v>10</v>
  </rv>
  <rv s="4">
    <fb>255.25</fb>
    <v>10</v>
  </rv>
  <rv s="4">
    <fb>44599</fb>
    <v>9</v>
  </rv>
  <rv s="4">
    <fb>3216.3</fb>
    <v>10</v>
  </rv>
  <rv s="4">
    <fb>17374.75</fb>
    <v>10</v>
  </rv>
  <rv s="4">
    <fb>329.94029999999998</fb>
    <v>10</v>
  </rv>
  <rv s="4">
    <fb>598.28930000000003</fb>
    <v>10</v>
  </rv>
  <rv s="4">
    <fb>1809.5387000000001</fb>
    <v>10</v>
  </rv>
  <rv s="4">
    <fb>1933.65</fb>
    <v>10</v>
  </rv>
  <rv s="4">
    <fb>241.55</fb>
    <v>10</v>
  </rv>
  <rv s="4">
    <fb>44606</fb>
    <v>9</v>
  </rv>
  <rv s="4">
    <fb>3258.45</fb>
    <v>10</v>
  </rv>
  <rv s="4">
    <fb>17276.3</fb>
    <v>10</v>
  </rv>
  <rv s="4">
    <fb>328.05020000000002</fb>
    <v>10</v>
  </rv>
  <rv s="4">
    <fb>614.83090000000004</fb>
    <v>10</v>
  </rv>
  <rv s="4">
    <fb>1855.9150999999999</fb>
    <v>10</v>
  </rv>
  <rv s="4">
    <fb>1760.2</fb>
    <v>10</v>
  </rv>
  <rv s="4">
    <fb>235.7</fb>
    <v>10</v>
  </rv>
  <rv s="4">
    <fb>44613</fb>
    <v>9</v>
  </rv>
  <rv s="4">
    <fb>3119.2</fb>
    <v>10</v>
  </rv>
  <rv s="4">
    <fb>16658.400000000001</fb>
    <v>10</v>
  </rv>
  <rv s="4">
    <fb>299.00220000000002</fb>
    <v>10</v>
  </rv>
  <rv s="4">
    <fb>571.4144</fb>
    <v>10</v>
  </rv>
  <rv s="4">
    <fb>1790.5382999999999</fb>
    <v>10</v>
  </rv>
  <rv s="4">
    <fb>1747.5</fb>
    <v>10</v>
  </rv>
  <rv s="4">
    <fb>211.27500000000001</fb>
    <v>10</v>
  </rv>
  <rv s="4">
    <fb>44620</fb>
    <v>9</v>
  </rv>
  <rv s="4">
    <fb>2738.15</fb>
    <v>10</v>
  </rv>
  <rv s="4">
    <fb>16245.35</fb>
    <v>10</v>
  </rv>
  <rv s="4">
    <fb>295.1225</fb>
    <v>10</v>
  </rv>
  <rv s="4">
    <fb>544.20619999999997</fb>
    <v>10</v>
  </rv>
  <rv s="4">
    <fb>1758.1370999999999</fb>
    <v>10</v>
  </rv>
  <rv s="4">
    <fb>1648.1</fb>
    <v>10</v>
  </rv>
  <rv s="4">
    <fb>204.07499999999999</fb>
    <v>10</v>
  </rv>
  <rv s="4">
    <fb>44627</fb>
    <v>9</v>
  </rv>
  <rv s="4">
    <fb>2932</fb>
    <v>10</v>
  </rv>
  <rv s="4">
    <fb>16630.45</fb>
    <v>10</v>
  </rv>
  <rv s="4">
    <fb>298.50479999999999</fb>
    <v>10</v>
  </rv>
  <rv s="4">
    <fb>566.0394</fb>
    <v>10</v>
  </rv>
  <rv s="4">
    <fb>1868.598</fb>
    <v>10</v>
  </rv>
  <rv s="4">
    <fb>1640.7</fb>
    <v>10</v>
  </rv>
  <rv s="4">
    <fb>226.35</fb>
    <v>10</v>
  </rv>
  <rv s="4">
    <fb>44634</fb>
    <v>9</v>
  </rv>
  <rv s="4">
    <fb>3136.6</fb>
    <v>10</v>
  </rv>
  <rv s="4">
    <fb>17287.05</fb>
    <v>10</v>
  </rv>
  <rv s="4">
    <fb>315.58210000000003</fb>
    <v>10</v>
  </rv>
  <rv s="4">
    <fb>1857.8773000000001</fb>
    <v>10</v>
  </rv>
  <rv s="4">
    <fb>1636.7</fb>
    <v>10</v>
  </rv>
  <rv s="4">
    <fb>232.35</fb>
    <v>10</v>
  </rv>
  <rv s="4">
    <fb>44641</fb>
    <v>9</v>
  </rv>
  <rv s="4">
    <fb>3046.95</fb>
    <v>10</v>
  </rv>
  <rv s="4">
    <fb>17153</fb>
    <v>10</v>
  </rv>
  <rv s="4">
    <fb>301.25709999999998</fb>
    <v>10</v>
  </rv>
  <rv s="4">
    <fb>573.83100000000002</fb>
    <v>10</v>
  </rv>
  <rv s="4">
    <fb>1861.6583000000001</fb>
    <v>10</v>
  </rv>
  <rv s="4">
    <fb>1531.4</fb>
    <v>10</v>
  </rv>
  <rv s="4">
    <fb>232.82499999999999</fb>
    <v>10</v>
  </rv>
  <rv s="4">
    <fb>44648</fb>
    <v>9</v>
  </rv>
  <rv s="4">
    <fb>3114.15</fb>
    <v>10</v>
  </rv>
  <rv s="4">
    <fb>17670.45</fb>
    <v>10</v>
  </rv>
  <rv s="4">
    <fb>311.56979999999999</fb>
    <v>10</v>
  </rv>
  <rv s="4">
    <fb>592.99760000000003</fb>
    <v>10</v>
  </rv>
  <rv s="4">
    <fb>1840.4084</fb>
    <v>10</v>
  </rv>
  <rv s="4">
    <fb>1616.8</fb>
    <v>10</v>
  </rv>
  <rv s="4">
    <fb>242.375</fb>
    <v>10</v>
  </rv>
  <rv s="4">
    <fb>44655</fb>
    <v>9</v>
  </rv>
  <rv s="4">
    <fb>3206.25</fb>
    <v>10</v>
  </rv>
  <rv s="4">
    <fb>17784.349999999999</fb>
    <v>10</v>
  </rv>
  <rv s="4">
    <fb>307.85590000000002</fb>
    <v>10</v>
  </rv>
  <rv s="4">
    <fb>612.16420000000005</fb>
    <v>10</v>
  </rv>
  <rv s="4">
    <fb>1832.8466000000001</fb>
    <v>10</v>
  </rv>
  <rv s="4">
    <fb>1673.65</fb>
    <v>10</v>
  </rv>
  <rv s="4">
    <fb>256.625</fb>
    <v>10</v>
  </rv>
  <rv s="4">
    <fb>44662</fb>
    <v>9</v>
  </rv>
  <rv s="4">
    <fb>3080.65</fb>
    <v>10</v>
  </rv>
  <rv s="4">
    <fb>17475.650000000001</fb>
    <v>10</v>
  </rv>
  <rv s="4">
    <fb>308.4196</fb>
    <v>10</v>
  </rv>
  <rv s="4">
    <fb>603.45590000000004</fb>
    <v>10</v>
  </rv>
  <rv s="4">
    <fb>1814.1812</fb>
    <v>10</v>
  </rv>
  <rv s="4">
    <fb>1621.8</fb>
    <v>10</v>
  </rv>
  <rv s="4">
    <fb>252.82499999999999</fb>
    <v>10</v>
  </rv>
  <rv s="4">
    <fb>44669</fb>
    <v>9</v>
  </rv>
  <rv s="4">
    <fb>3164.4</fb>
    <v>10</v>
  </rv>
  <rv s="4">
    <fb>17171.95</fb>
    <v>10</v>
  </rv>
  <rv s="4">
    <fb>597.20590000000004</fb>
    <v>10</v>
  </rv>
  <rv s="4">
    <fb>1807.6722</fb>
    <v>10</v>
  </rv>
  <rv s="4">
    <fb>1556.9</fb>
    <v>10</v>
  </rv>
  <rv s="4">
    <fb>269.85000000000002</fb>
    <v>10</v>
  </rv>
  <rv s="4">
    <fb>44676</fb>
    <v>9</v>
  </rv>
  <rv s="4">
    <fb>3237.2</fb>
    <v>10</v>
  </rv>
  <rv s="4">
    <fb>17102.55</fb>
    <v>10</v>
  </rv>
  <rv s="4">
    <fb>311.404</fb>
    <v>10</v>
  </rv>
  <rv s="4">
    <fb>1798.0523000000001</fb>
    <v>10</v>
  </rv>
  <rv s="4">
    <fb>1556</fb>
    <v>10</v>
  </rv>
  <rv s="4">
    <fb>249.17500000000001</fb>
    <v>10</v>
  </rv>
  <rv s="4">
    <fb>44683</fb>
    <v>9</v>
  </rv>
  <rv s="4">
    <fb>3016.25</fb>
    <v>10</v>
  </rv>
  <rv s="4">
    <fb>16411.25</fb>
    <v>10</v>
  </rv>
  <rv s="4">
    <fb>299.30059999999997</fb>
    <v>10</v>
  </rv>
  <rv s="4">
    <fb>555.58109999999999</fb>
    <v>10</v>
  </rv>
  <rv s="4">
    <fb>1752.346</fb>
    <v>10</v>
  </rv>
  <rv s="4">
    <fb>1490.95</fb>
    <v>10</v>
  </rv>
  <rv s="4">
    <fb>238.07499999999999</fb>
    <v>10</v>
  </rv>
  <rv s="4">
    <fb>44690</fb>
    <v>9</v>
  </rv>
  <rv s="4">
    <fb>3064</fb>
    <v>10</v>
  </rv>
  <rv s="4">
    <fb>15782.15</fb>
    <v>10</v>
  </rv>
  <rv s="4">
    <fb>264.01859999999999</fb>
    <v>10</v>
  </rv>
  <rv s="4">
    <fb>547.08109999999999</fb>
    <v>10</v>
  </rv>
  <rv s="4">
    <fb>1688.9793999999999</fb>
    <v>10</v>
  </rv>
  <rv s="4">
    <fb>1443.85</fb>
    <v>10</v>
  </rv>
  <rv s="4">
    <fb>216.5</fb>
    <v>10</v>
  </rv>
  <rv s="4">
    <fb>44697</fb>
    <v>9</v>
  </rv>
  <rv s="4">
    <fb>3109.95</fb>
    <v>10</v>
  </rv>
  <rv s="4">
    <fb>16266.15</fb>
    <v>10</v>
  </rv>
  <rv s="4">
    <fb>264.41649999999998</fb>
    <v>10</v>
  </rv>
  <rv s="4">
    <fb>525.28959999999995</fb>
    <v>10</v>
  </rv>
  <rv s="4">
    <fb>1708.4584</fb>
    <v>10</v>
  </rv>
  <rv s="4">
    <fb>1620.05</fb>
    <v>10</v>
  </rv>
  <rv s="4">
    <fb>219.9</fb>
    <v>10</v>
  </rv>
  <rv s="4">
    <fb>44704</fb>
    <v>9</v>
  </rv>
  <rv s="4">
    <fb>2834.85</fb>
    <v>10</v>
  </rv>
  <rv s="4">
    <fb>16352.45</fb>
    <v>10</v>
  </rv>
  <rv s="4">
    <fb>268.49520000000001</fb>
    <v>10</v>
  </rv>
  <rv s="4">
    <fb>479.37310000000002</fb>
    <v>10</v>
  </rv>
  <rv s="4">
    <fb>1663.8050000000001</fb>
    <v>10</v>
  </rv>
  <rv s="4">
    <fb>1577.45</fb>
    <v>10</v>
  </rv>
  <rv s="4">
    <fb>224.125</fb>
    <v>10</v>
  </rv>
  <rv s="4">
    <fb>44711</fb>
    <v>9</v>
  </rv>
  <rv s="4">
    <fb>2886.9</fb>
    <v>10</v>
  </rv>
  <rv s="4">
    <fb>16584.3</fb>
    <v>10</v>
  </rv>
  <rv s="4">
    <fb>273.80070000000001</fb>
    <v>10</v>
  </rv>
  <rv s="4">
    <fb>507.41460000000001</fb>
    <v>10</v>
  </rv>
  <rv s="4">
    <fb>1718.8440000000001</fb>
    <v>10</v>
  </rv>
  <rv s="4">
    <fb>1571.5</fb>
    <v>10</v>
  </rv>
  <rv s="4">
    <fb>225.65</fb>
    <v>10</v>
  </rv>
  <rv s="4">
    <fb>44718</fb>
    <v>9</v>
  </rv>
  <rv s="4">
    <fb>2708.75</fb>
    <v>10</v>
  </rv>
  <rv s="4">
    <fb>16201.8</fb>
    <v>10</v>
  </rv>
  <rv s="4">
    <fb>264.68180000000001</fb>
    <v>10</v>
  </rv>
  <rv s="4">
    <fb>483.95639999999997</fb>
    <v>10</v>
  </rv>
  <rv s="4">
    <fb>1709.3678</fb>
    <v>10</v>
  </rv>
  <rv s="4">
    <fb>1549.9</fb>
    <v>10</v>
  </rv>
  <rv s="4">
    <fb>224.22499999999999</fb>
    <v>10</v>
  </rv>
  <rv s="4">
    <fb>44725</fb>
    <v>9</v>
  </rv>
  <rv s="4">
    <fb>2580.1999999999998</fb>
    <v>10</v>
  </rv>
  <rv s="4">
    <fb>15293.5</fb>
    <v>10</v>
  </rv>
  <rv s="4">
    <fb>245.94649999999999</fb>
    <v>10</v>
  </rv>
  <rv s="4">
    <fb>467.28980000000001</fb>
    <v>10</v>
  </rv>
  <rv s="4">
    <fb>1628.7715000000001</fb>
    <v>10</v>
  </rv>
  <rv s="4">
    <fb>1430.4</fb>
    <v>10</v>
  </rv>
  <rv s="4">
    <fb>211.1</fb>
    <v>10</v>
  </rv>
  <rv s="4">
    <fb>44732</fb>
    <v>9</v>
  </rv>
  <rv s="4">
    <fb>2760.9</fb>
    <v>10</v>
  </rv>
  <rv s="4">
    <fb>15699.25</fb>
    <v>10</v>
  </rv>
  <rv s="4">
    <fb>247.505</fb>
    <v>10</v>
  </rv>
  <rv s="4">
    <fb>495.08139999999997</fb>
    <v>10</v>
  </rv>
  <rv s="4">
    <fb>1704.6775</fb>
    <v>10</v>
  </rv>
  <rv s="4">
    <fb>1426.35</fb>
    <v>10</v>
  </rv>
  <rv s="4">
    <fb>219.57499999999999</fb>
    <v>10</v>
  </rv>
  <rv s="4">
    <fb>44739</fb>
    <v>9</v>
  </rv>
  <rv s="4">
    <fb>2773.15</fb>
    <v>10</v>
  </rv>
  <rv s="4">
    <fb>15752.05</fb>
    <v>10</v>
  </rv>
  <rv s="4">
    <fb>247.0076</fb>
    <v>10</v>
  </rv>
  <rv s="4">
    <fb>485.20639999999997</fb>
    <v>10</v>
  </rv>
  <rv s="4">
    <fb>1796.9516000000001</fb>
    <v>10</v>
  </rv>
  <rv s="4">
    <fb>1384.15</fb>
    <v>10</v>
  </rv>
  <rv s="4">
    <fb>213.55</fb>
    <v>10</v>
  </rv>
  <rv s="4">
    <fb>44746</fb>
    <v>9</v>
  </rv>
  <rv s="4">
    <fb>2879.8</fb>
    <v>10</v>
  </rv>
  <rv s="4">
    <fb>16220.6</fb>
    <v>10</v>
  </rv>
  <rv s="4">
    <fb>259.21039999999999</fb>
    <v>10</v>
  </rv>
  <rv s="4">
    <fb>487.70639999999997</fb>
    <v>10</v>
  </rv>
  <rv s="4">
    <fb>1815.1384</fb>
    <v>10</v>
  </rv>
  <rv s="4">
    <fb>1434.6</fb>
    <v>10</v>
  </rv>
  <rv s="4">
    <fb>240.05</fb>
    <v>10</v>
  </rv>
  <rv s="4">
    <fb>44753</fb>
    <v>9</v>
  </rv>
  <rv s="4">
    <fb>2978.15</fb>
    <v>10</v>
  </rv>
  <rv s="4">
    <fb>16049.2</fb>
    <v>10</v>
  </rv>
  <rv s="4">
    <fb>259.64150000000001</fb>
    <v>10</v>
  </rv>
  <rv s="4">
    <fb>478.03980000000001</fb>
    <v>10</v>
  </rv>
  <rv s="4">
    <fb>1837.9675999999999</fb>
    <v>10</v>
  </rv>
  <rv s="4">
    <fb>1409.1</fb>
    <v>10</v>
  </rv>
  <rv s="4">
    <fb>242.7</fb>
    <v>10</v>
  </rv>
  <rv s="4">
    <fb>44760</fb>
    <v>9</v>
  </rv>
  <rv s="4">
    <fb>3067.4</fb>
    <v>10</v>
  </rv>
  <rv s="4">
    <fb>16719.45</fb>
    <v>10</v>
  </rv>
  <rv s="4">
    <fb>266.7045</fb>
    <v>10</v>
  </rv>
  <rv s="4">
    <fb>491.16469999999998</fb>
    <v>10</v>
  </rv>
  <rv s="4">
    <fb>1842.3706999999999</fb>
    <v>10</v>
  </rv>
  <rv s="4">
    <fb>1393.3</fb>
    <v>10</v>
  </rv>
  <rv s="4">
    <fb>254.5</fb>
    <v>10</v>
  </rv>
  <rv s="4">
    <fb>44767</fb>
    <v>9</v>
  </rv>
  <rv s="4">
    <fb>3333.75</fb>
    <v>10</v>
  </rv>
  <rv s="4">
    <fb>17158.25</fb>
    <v>10</v>
  </rv>
  <rv s="4">
    <fb>265.27870000000001</fb>
    <v>10</v>
  </rv>
  <rv s="4">
    <fb>520.58130000000006</fb>
    <v>10</v>
  </rv>
  <rv s="4">
    <fb>1861.7539999999999</fb>
    <v>10</v>
  </rv>
  <rv s="4">
    <fb>1391.7</fb>
    <v>10</v>
  </rv>
  <rv s="4">
    <fb>44774</fb>
    <v>9</v>
  </rv>
  <rv s="4">
    <fb>3473.9</fb>
    <v>10</v>
  </rv>
  <rv s="4">
    <fb>17397.5</fb>
    <v>10</v>
  </rv>
  <rv s="4">
    <fb>332.56</fb>
    <v>10</v>
  </rv>
  <rv s="4">
    <fb>561.45609999999999</fb>
    <v>10</v>
  </rv>
  <rv s="4">
    <fb>1825.1890000000001</fb>
    <v>10</v>
  </rv>
  <rv s="4">
    <fb>1564.7</fb>
    <v>10</v>
  </rv>
  <rv s="4">
    <fb>272.02499999999998</fb>
    <v>10</v>
  </rv>
  <rv s="4">
    <fb>44781</fb>
    <v>9</v>
  </rv>
  <rv s="4">
    <fb>3427.85</fb>
    <v>10</v>
  </rv>
  <rv s="4">
    <fb>17698.150000000001</fb>
    <v>10</v>
  </rv>
  <rv s="4">
    <fb>327.78489999999999</fb>
    <v>10</v>
  </rv>
  <rv s="4">
    <fb>563.6644</fb>
    <v>10</v>
  </rv>
  <rv s="4">
    <fb>1835.4789000000001</fb>
    <v>10</v>
  </rv>
  <rv s="4">
    <fb>1504.8</fb>
    <v>10</v>
  </rv>
  <rv s="4">
    <fb>270.2</fb>
    <v>10</v>
  </rv>
  <rv s="4">
    <fb>44789</fb>
    <v>9</v>
  </rv>
  <rv s="4">
    <fb>3482.55</fb>
    <v>10</v>
  </rv>
  <rv s="4">
    <fb>17758.45</fb>
    <v>10</v>
  </rv>
  <rv s="4">
    <fb>335.37849999999997</fb>
    <v>10</v>
  </rv>
  <rv s="4">
    <fb>580.91430000000003</fb>
    <v>10</v>
  </rv>
  <rv s="4">
    <fb>1816.8613</fb>
    <v>10</v>
  </rv>
  <rv s="4">
    <fb>1511.25</fb>
    <v>10</v>
  </rv>
  <rv s="4">
    <fb>267.67500000000001</fb>
    <v>10</v>
  </rv>
  <rv s="4">
    <fb>44795</fb>
    <v>9</v>
  </rv>
  <rv s="4">
    <fb>3323.55</fb>
    <v>10</v>
  </rv>
  <rv s="4">
    <fb>17558.900000000001</fb>
    <v>10</v>
  </rv>
  <rv s="4">
    <fb>326.88959999999997</fb>
    <v>10</v>
  </rv>
  <rv s="4">
    <fb>550.12279999999998</fb>
    <v>10</v>
  </rv>
  <rv s="4">
    <fb>1856.0108</fb>
    <v>10</v>
  </rv>
  <rv s="4">
    <fb>1670.4</fb>
    <v>10</v>
  </rv>
  <rv s="4">
    <fb>260.64999999999998</fb>
    <v>10</v>
  </rv>
  <rv s="4">
    <fb>44802</fb>
    <v>9</v>
  </rv>
  <rv s="4">
    <fb>3431.05</fb>
    <v>10</v>
  </rv>
  <rv s="4">
    <fb>17539.45</fb>
    <v>10</v>
  </rv>
  <rv s="4">
    <fb>331.39940000000001</fb>
    <v>10</v>
  </rv>
  <rv s="4">
    <fb>556.7894</fb>
    <v>10</v>
  </rv>
  <rv s="4">
    <fb>1857.3030000000001</fb>
    <v>10</v>
  </rv>
  <rv s="4">
    <fb>1589.6</fb>
    <v>10</v>
  </rv>
  <rv s="4">
    <fb>270.52499999999998</fb>
    <v>10</v>
  </rv>
  <rv s="4">
    <fb>44809</fb>
    <v>9</v>
  </rv>
  <rv s="4">
    <fb>3441.85</fb>
    <v>10</v>
  </rv>
  <rv s="4">
    <fb>17833.349999999999</fb>
    <v>10</v>
  </rv>
  <rv s="4">
    <fb>340.48520000000002</fb>
    <v>10</v>
  </rv>
  <rv s="4">
    <fb>553.33109999999999</fb>
    <v>10</v>
  </rv>
  <rv s="4">
    <fb>1932.9218000000001</fb>
    <v>10</v>
  </rv>
  <rv s="4">
    <fb>1554</fb>
    <v>10</v>
  </rv>
  <rv s="4">
    <fb>306.85000000000002</fb>
    <v>10</v>
  </rv>
  <rv s="4">
    <fb>44816</fb>
    <v>9</v>
  </rv>
  <rv s="4">
    <fb>3322.55</fb>
    <v>10</v>
  </rv>
  <rv s="4">
    <fb>17530.849999999999</fb>
    <v>10</v>
  </rv>
  <rv s="4">
    <fb>318.2681</fb>
    <v>10</v>
  </rv>
  <rv s="4">
    <fb>532.49789999999996</fb>
    <v>10</v>
  </rv>
  <rv s="4">
    <fb>2041.229</fb>
    <v>10</v>
  </rv>
  <rv s="4">
    <fb>1601.35</fb>
    <v>10</v>
  </rv>
  <rv s="4">
    <fb>299.14999999999998</fb>
    <v>10</v>
  </rv>
  <rv s="4">
    <fb>44823</fb>
    <v>9</v>
  </rv>
  <rv s="4">
    <fb>3395.25</fb>
    <v>10</v>
  </rv>
  <rv s="4">
    <fb>17327.349999999999</fb>
    <v>10</v>
  </rv>
  <rv s="4">
    <fb>317.73750000000001</fb>
    <v>10</v>
  </rv>
  <rv s="4">
    <fb>528.08119999999997</fb>
    <v>10</v>
  </rv>
  <rv s="4">
    <fb>2064.3454000000002</fb>
    <v>10</v>
  </rv>
  <rv s="4">
    <fb>1523.6</fb>
    <v>10</v>
  </rv>
  <rv s="4">
    <fb>298.92500000000001</fb>
    <v>10</v>
  </rv>
  <rv s="4">
    <fb>44830</fb>
    <v>9</v>
  </rv>
  <rv s="4">
    <fb>3342.45</fb>
    <v>10</v>
  </rv>
  <rv s="4">
    <fb>17094.349999999999</fb>
    <v>10</v>
  </rv>
  <rv s="4">
    <fb>324.73419999999999</fb>
    <v>10</v>
  </rv>
  <rv s="4">
    <fb>514.16459999999995</fb>
    <v>10</v>
  </rv>
  <rv s="4">
    <fb>2111.2482</fb>
    <v>10</v>
  </rv>
  <rv s="4">
    <fb>1499.4</fb>
    <v>10</v>
  </rv>
  <rv s="4">
    <fb>297.7</fb>
    <v>10</v>
  </rv>
  <rv s="4">
    <fb>44837</fb>
    <v>9</v>
  </rv>
  <rv s="4">
    <fb>3343.7</fb>
    <v>10</v>
  </rv>
  <rv s="4">
    <fb>17331.8</fb>
    <v>10</v>
  </rv>
  <rv s="4">
    <fb>315.41629999999998</fb>
    <v>10</v>
  </rv>
  <rv s="4">
    <fb>521.58119999999997</fb>
    <v>10</v>
  </rv>
  <rv s="4">
    <fb>2129.1478000000002</fb>
    <v>10</v>
  </rv>
  <rv s="4">
    <fb>1493.55</fb>
    <v>10</v>
  </rv>
  <rv s="4">
    <fb>305.57499999999999</fb>
    <v>10</v>
  </rv>
  <rv s="4">
    <fb>44844</fb>
    <v>9</v>
  </rv>
  <rv s="4">
    <fb>3185.5</fb>
    <v>10</v>
  </rv>
  <rv s="4">
    <fb>17185.7</fb>
    <v>10</v>
  </rv>
  <rv s="4">
    <fb>319.22969999999998</fb>
    <v>10</v>
  </rv>
  <rv s="4">
    <fb>510.3313</fb>
    <v>10</v>
  </rv>
  <rv s="4">
    <fb>1958.5269000000001</fb>
    <v>10</v>
  </rv>
  <rv s="4">
    <fb>1482.65</fb>
    <v>10</v>
  </rv>
  <rv s="4">
    <fb>299.05</fb>
    <v>10</v>
  </rv>
  <rv s="4">
    <fb>44851</fb>
    <v>9</v>
  </rv>
  <rv s="4">
    <fb>3092.4</fb>
    <v>10</v>
  </rv>
  <rv s="4">
    <fb>17576.3</fb>
    <v>10</v>
  </rv>
  <rv s="4">
    <fb>317.80380000000002</fb>
    <v>10</v>
  </rv>
  <rv s="4">
    <fb>487.78969999999998</fb>
    <v>10</v>
  </rv>
  <rv s="4">
    <fb>2046.9242999999999</fb>
    <v>10</v>
  </rv>
  <rv s="4">
    <fb>1418.85</fb>
    <v>10</v>
  </rv>
  <rv s="4">
    <fb>306.60000000000002</fb>
    <v>10</v>
  </rv>
  <rv s="4">
    <fb>44858</fb>
    <v>9</v>
  </rv>
  <rv s="4">
    <fb>3053.4</fb>
    <v>10</v>
  </rv>
  <rv s="4">
    <fb>17786.8</fb>
    <v>10</v>
  </rv>
  <rv s="4">
    <fb>315.81420000000003</fb>
    <v>10</v>
  </rv>
  <rv s="4">
    <fb>479.03980000000001</fb>
    <v>10</v>
  </rv>
  <rv s="4">
    <fb>2039.6017999999999</fb>
    <v>10</v>
  </rv>
  <rv s="4">
    <fb>1430.05</fb>
    <v>10</v>
  </rv>
  <rv s="4">
    <fb>292.75</fb>
    <v>10</v>
  </rv>
  <rv s="4">
    <fb>44865</fb>
    <v>9</v>
  </rv>
  <rv s="4">
    <fb>3181.35</fb>
    <v>10</v>
  </rv>
  <rv s="4">
    <fb>18117.150000000001</fb>
    <v>10</v>
  </rv>
  <rv s="4">
    <fb>297.1121</fb>
    <v>10</v>
  </rv>
  <rv s="4">
    <fb>503.53969999999998</fb>
    <v>10</v>
  </rv>
  <rv s="4">
    <fb>2015.0974000000001</fb>
    <v>10</v>
  </rv>
  <rv s="4">
    <fb>1542.65</fb>
    <v>10</v>
  </rv>
  <rv s="4">
    <fb>325.22500000000002</fb>
    <v>10</v>
  </rv>
  <rv s="4">
    <fb>44872</fb>
    <v>9</v>
  </rv>
  <rv s="4">
    <fb>3055.4</fb>
    <v>10</v>
  </rv>
  <rv s="4">
    <fb>18349.7</fb>
    <v>10</v>
  </rv>
  <rv s="4">
    <fb>296.78050000000002</fb>
    <v>10</v>
  </rv>
  <rv s="4">
    <fb>498.41469999999998</fb>
    <v>10</v>
  </rv>
  <rv s="4">
    <fb>2174.0405000000001</fb>
    <v>10</v>
  </rv>
  <rv s="4">
    <fb>1439.3</fb>
    <v>10</v>
  </rv>
  <rv s="4">
    <fb>325.85000000000002</fb>
    <v>10</v>
  </rv>
  <rv s="4">
    <fb>44879</fb>
    <v>9</v>
  </rv>
  <rv s="4">
    <fb>3095.5</fb>
    <v>10</v>
  </rv>
  <rv s="4">
    <fb>18307.650000000001</fb>
    <v>10</v>
  </rv>
  <rv s="4">
    <fb>287.89370000000002</fb>
    <v>10</v>
  </rv>
  <rv s="4">
    <fb>502.9563</fb>
    <v>10</v>
  </rv>
  <rv s="4">
    <fb>2239.8000999999999</fb>
    <v>10</v>
  </rv>
  <rv s="4">
    <fb>1336.4</fb>
    <v>10</v>
  </rv>
  <rv s="4">
    <fb>342.2</fb>
    <v>10</v>
  </rv>
  <rv s="4">
    <fb>44886</fb>
    <v>9</v>
  </rv>
  <rv s="4">
    <fb>3108.15</fb>
    <v>10</v>
  </rv>
  <rv s="4">
    <fb>18512.75</fb>
    <v>10</v>
  </rv>
  <rv s="4">
    <fb>288.68950000000001</fb>
    <v>10</v>
  </rv>
  <rv s="4">
    <fb>513.91459999999995</fb>
    <v>10</v>
  </rv>
  <rv s="4">
    <fb>2211.1320000000001</fb>
    <v>10</v>
  </rv>
  <rv s="4">
    <fb>1318.85</fb>
    <v>10</v>
  </rv>
  <rv s="4">
    <fb>343.65</fb>
    <v>10</v>
  </rv>
  <rv s="4">
    <fb>44893</fb>
    <v>9</v>
  </rv>
  <rv s="4">
    <fb>3143.45</fb>
    <v>10</v>
  </rv>
  <rv s="4">
    <fb>18696.099999999999</fb>
    <v>10</v>
  </rv>
  <rv s="4">
    <fb>292.27080000000001</fb>
    <v>10</v>
  </rv>
  <rv s="4">
    <fb>513.66459999999995</fb>
    <v>10</v>
  </rv>
  <rv s="4">
    <fb>2198.3054999999999</fb>
    <v>10</v>
  </rv>
  <rv s="4">
    <fb>1340.55</fb>
    <v>10</v>
  </rv>
  <rv s="4">
    <fb>347.67500000000001</fb>
    <v>10</v>
  </rv>
  <rv s="4">
    <fb>44900</fb>
    <v>9</v>
  </rv>
  <rv s="4">
    <fb>3226.95</fb>
    <v>10</v>
  </rv>
  <rv s="4">
    <fb>18496.599999999999</fb>
    <v>10</v>
  </rv>
  <rv s="4">
    <fb>296.21679999999998</fb>
    <v>10</v>
  </rv>
  <rv s="4">
    <fb>512.62289999999996</fb>
    <v>10</v>
  </rv>
  <rv s="4">
    <fb>2154.8008</fb>
    <v>10</v>
  </rv>
  <rv s="4">
    <fb>1331.7</fb>
    <v>10</v>
  </rv>
  <rv s="4">
    <fb>344.77499999999998</fb>
    <v>10</v>
  </rv>
  <rv s="4">
    <fb>44907</fb>
    <v>9</v>
  </rv>
  <rv s="4">
    <fb>3055.9</fb>
    <v>10</v>
  </rv>
  <rv s="4">
    <fb>18269</fb>
    <v>10</v>
  </rv>
  <rv s="4">
    <fb>284.97559999999999</fb>
    <v>10</v>
  </rv>
  <rv s="4">
    <fb>495.70639999999997</fb>
    <v>10</v>
  </rv>
  <rv s="4">
    <fb>2179.2094000000002</fb>
    <v>10</v>
  </rv>
  <rv s="4">
    <fb>1319.1</fb>
    <v>10</v>
  </rv>
  <rv s="4">
    <fb>370.1</fb>
    <v>10</v>
  </rv>
  <rv s="4">
    <fb>44914</fb>
    <v>9</v>
  </rv>
  <rv s="4">
    <fb>3057.9</fb>
    <v>10</v>
  </rv>
  <rv s="4">
    <fb>17806.8</fb>
    <v>10</v>
  </rv>
  <rv s="4">
    <fb>280.49900000000002</fb>
    <v>10</v>
  </rv>
  <rv s="4">
    <fb>479.62310000000002</fb>
    <v>10</v>
  </rv>
  <rv s="4">
    <fb>2096.7945</fb>
    <v>10</v>
  </rv>
  <rv s="4">
    <fb>1252.5</fb>
    <v>10</v>
  </rv>
  <rv s="4">
    <fb>315.07499999999999</fb>
    <v>10</v>
  </rv>
  <rv s="4">
    <fb>44921</fb>
    <v>9</v>
  </rv>
  <rv s="4">
    <fb>3087.9</fb>
    <v>10</v>
  </rv>
  <rv s="4">
    <fb>18105.3</fb>
    <v>10</v>
  </rv>
  <rv s="4">
    <fb>291.3091</fb>
    <v>10</v>
  </rv>
  <rv s="4">
    <fb>484.45639999999997</fb>
    <v>10</v>
  </rv>
  <rv s="4">
    <fb>2124.5533</fb>
    <v>10</v>
  </rv>
  <rv s="4">
    <fb>1302.5999999999999</fb>
    <v>10</v>
  </rv>
  <rv s="4">
    <fb>336</fb>
    <v>10</v>
  </rv>
  <rv s="4">
    <fb>44928</fb>
    <v>9</v>
  </rv>
  <rv s="4">
    <fb>2978.4</fb>
    <v>10</v>
  </rv>
  <rv s="4">
    <fb>17859.45</fb>
    <v>10</v>
  </rv>
  <rv s="4">
    <fb>278.1447</fb>
    <v>10</v>
  </rv>
  <rv s="4">
    <fb>473.66480000000001</fb>
    <v>10</v>
  </rv>
  <rv s="4">
    <fb>2116.4171000000001</fb>
    <v>10</v>
  </rv>
  <rv s="4">
    <fb>1294.25</fb>
    <v>10</v>
  </rv>
  <rv s="4">
    <fb>324.8</fb>
    <v>10</v>
  </rv>
  <rv s="4">
    <fb>44935</fb>
    <v>9</v>
  </rv>
  <rv s="4">
    <fb>2909.15</fb>
    <v>10</v>
  </rv>
  <rv s="4">
    <fb>17956.599999999999</fb>
    <v>10</v>
  </rv>
  <rv s="4">
    <fb>274.16550000000001</fb>
    <v>10</v>
  </rv>
  <rv s="4">
    <fb>468.45650000000001</fb>
    <v>10</v>
  </rv>
  <rv s="4">
    <fb>2129.9614000000001</fb>
    <v>10</v>
  </rv>
  <rv s="4">
    <fb>1281.7</fb>
    <v>10</v>
  </rv>
  <rv s="4">
    <fb>323.5</fb>
    <v>10</v>
  </rv>
  <rv s="4">
    <fb>44942</fb>
    <v>9</v>
  </rv>
  <rv s="4">
    <fb>2787.8</fb>
    <v>10</v>
  </rv>
  <rv s="4">
    <fb>18027.650000000001</fb>
    <v>10</v>
  </rv>
  <rv s="4">
    <fb>277.58100000000002</fb>
    <v>10</v>
  </rv>
  <rv s="4">
    <fb>464.28980000000001</fb>
    <v>10</v>
  </rv>
  <rv s="4">
    <fb>2162.4105</fb>
    <v>10</v>
  </rv>
  <rv s="4">
    <fb>1231.0999999999999</fb>
    <v>10</v>
  </rv>
  <rv s="4">
    <fb>309.82499999999999</fb>
    <v>10</v>
  </rv>
  <rv s="4">
    <fb>44949</fb>
    <v>9</v>
  </rv>
  <rv s="4">
    <fb>2722.65</fb>
    <v>10</v>
  </rv>
  <rv s="4">
    <fb>17604.349999999999</fb>
    <v>10</v>
  </rv>
  <rv s="4">
    <fb>272.14269999999999</fb>
    <v>10</v>
  </rv>
  <rv s="4">
    <fb>449.58150000000001</fb>
    <v>10</v>
  </rv>
  <rv s="4">
    <fb>2145.6116999999999</fb>
    <v>10</v>
  </rv>
  <rv s="4">
    <fb>1212.95</fb>
    <v>10</v>
  </rv>
  <rv s="4">
    <fb>313.85000000000002</fb>
    <v>10</v>
  </rv>
  <rv s="4">
    <fb>44956</fb>
    <v>9</v>
  </rv>
  <rv s="4">
    <fb>2760.4</fb>
    <v>10</v>
  </rv>
  <rv s="4">
    <fb>17854.05</fb>
    <v>10</v>
  </rv>
  <rv s="4">
    <fb>276.98410000000001</fb>
    <v>10</v>
  </rv>
  <rv s="4">
    <fb>465.24810000000002</fb>
    <v>10</v>
  </rv>
  <rv s="4">
    <fb>2115.6992</fb>
    <v>10</v>
  </rv>
  <rv s="4">
    <fb>1136.0999999999999</fb>
    <v>10</v>
  </rv>
  <rv s="4">
    <fb>318.875</fb>
    <v>10</v>
  </rv>
  <rv s="4">
    <fb>44963</fb>
    <v>9</v>
  </rv>
  <rv s="4">
    <fb>2804.6</fb>
    <v>10</v>
  </rv>
  <rv s="4">
    <fb>17856.5</fb>
    <v>10</v>
  </rv>
  <rv s="4">
    <fb>278.27730000000003</fb>
    <v>10</v>
  </rv>
  <rv s="4">
    <fb>476.33139999999997</fb>
    <v>10</v>
  </rv>
  <rv s="4">
    <fb>2216.2051999999999</fb>
    <v>10</v>
  </rv>
  <rv s="4">
    <fb>1161.8</fb>
    <v>10</v>
  </rv>
  <rv s="4">
    <fb>323.67500000000001</fb>
    <v>10</v>
  </rv>
  <rv s="4">
    <fb>44970</fb>
    <v>9</v>
  </rv>
  <rv s="4">
    <fb>2833.6</fb>
    <v>10</v>
  </rv>
  <rv s="4">
    <fb>17944.2</fb>
    <v>10</v>
  </rv>
  <rv s="4">
    <fb>274.99450000000002</fb>
    <v>10</v>
  </rv>
  <rv s="4">
    <fb>474.12310000000002</fb>
    <v>10</v>
  </rv>
  <rv s="4">
    <fb>2084.5902000000001</fb>
    <v>10</v>
  </rv>
  <rv s="4">
    <fb>1080.7</fb>
    <v>10</v>
  </rv>
  <rv s="4">
    <fb>323.45</fb>
    <v>10</v>
  </rv>
  <rv s="4">
    <fb>44977</fb>
    <v>9</v>
  </rv>
  <rv s="4">
    <fb>2738.5</fb>
    <v>10</v>
  </rv>
  <rv s="4">
    <fb>17465.8</fb>
    <v>10</v>
  </rv>
  <rv s="4">
    <fb>278.012</fb>
    <v>10</v>
  </rv>
  <rv s="4">
    <fb>465.03980000000001</fb>
    <v>10</v>
  </rv>
  <rv s="4">
    <fb>2100.4796999999999</fb>
    <v>10</v>
  </rv>
  <rv s="4">
    <fb>1016.9</fb>
    <v>10</v>
  </rv>
  <rv s="4">
    <fb>313.95</fb>
    <v>10</v>
  </rv>
  <rv s="4">
    <fb>44984</fb>
    <v>9</v>
  </rv>
  <rv s="4">
    <fb>2828.85</fb>
    <v>10</v>
  </rv>
  <rv s="4">
    <fb>17594.349999999999</fb>
    <v>10</v>
  </rv>
  <rv s="4">
    <fb>272.30849999999998</fb>
    <v>10</v>
  </rv>
  <rv s="4">
    <fb>2091.3384000000001</fb>
    <v>10</v>
  </rv>
  <rv s="4">
    <fb>1079.5</fb>
    <v>10</v>
  </rv>
  <rv s="4">
    <fb>306.75</fb>
    <v>10</v>
  </rv>
  <rv s="4">
    <fb>44991</fb>
    <v>9</v>
  </rv>
  <rv s="4">
    <fb>2830.2</fb>
    <v>10</v>
  </rv>
  <rv s="4">
    <fb>17412.900000000001</fb>
    <v>10</v>
  </rv>
  <rv s="4">
    <fb>270.75</fb>
    <v>10</v>
  </rv>
  <rv s="4">
    <fb>490.91469999999998</fb>
    <v>10</v>
  </rv>
  <rv s="4">
    <fb>2183.2296000000001</fb>
    <v>10</v>
  </rv>
  <rv s="4">
    <fb>1042.45</fb>
    <v>10</v>
  </rv>
  <rv s="4">
    <fb>311.47500000000002</fb>
    <v>10</v>
  </rv>
  <rv s="4">
    <fb>44998</fb>
    <v>9</v>
  </rv>
  <rv s="4">
    <fb>2862.65</fb>
    <v>10</v>
  </rv>
  <rv s="4">
    <fb>17100.05</fb>
    <v>10</v>
  </rv>
  <rv s="4">
    <fb>264.74810000000002</fb>
    <v>10</v>
  </rv>
  <rv s="4">
    <fb>494.53969999999998</fb>
    <v>10</v>
  </rv>
  <rv s="4">
    <fb>2205.6759999999999</fb>
    <v>10</v>
  </rv>
  <rv s="4">
    <fb>1042.6500000000001</fb>
    <v>10</v>
  </rv>
  <rv s="4">
    <fb>304.77499999999998</fb>
    <v>10</v>
  </rv>
  <rv s="4">
    <fb>45005</fb>
    <v>9</v>
  </rv>
  <rv s="4">
    <fb>2798.5</fb>
    <v>10</v>
  </rv>
  <rv s="4">
    <fb>16945.05</fb>
    <v>10</v>
  </rv>
  <rv s="4">
    <fb>254.93279999999999</fb>
    <v>10</v>
  </rv>
  <rv s="4">
    <fb>478.08139999999997</fb>
    <v>10</v>
  </rv>
  <rv s="4">
    <fb>2251.7172999999998</fb>
    <v>10</v>
  </rv>
  <rv s="4">
    <fb>321.32499999999999</fb>
    <v>10</v>
  </rv>
  <rv s="4">
    <fb>45012</fb>
    <v>9</v>
  </rv>
  <rv s="4">
    <fb>2761.65</fb>
    <v>10</v>
  </rv>
  <rv s="4">
    <fb>17359.75</fb>
    <v>10</v>
  </rv>
  <rv s="4">
    <fb>256.52449999999999</fb>
    <v>10</v>
  </rv>
  <rv s="4">
    <fb>484.74810000000002</fb>
    <v>10</v>
  </rv>
  <rv s="4">
    <fb>2202.0864999999999</fb>
    <v>10</v>
  </rv>
  <rv s="4">
    <fb>1008.35</fb>
    <v>10</v>
  </rv>
  <rv s="4">
    <fb>322.27499999999998</fb>
    <v>10</v>
  </rv>
  <rv s="4">
    <fb>45019</fb>
    <v>9</v>
  </rv>
  <rv s="4">
    <fb>2809.85</fb>
    <v>10</v>
  </rv>
  <rv s="4">
    <fb>17599.150000000001</fb>
    <v>10</v>
  </rv>
  <rv s="4">
    <fb>259.90679999999998</fb>
    <v>10</v>
  </rv>
  <rv s="4">
    <fb>497.66469999999998</fb>
    <v>10</v>
  </rv>
  <rv s="4">
    <fb>2135.9439000000002</fb>
    <v>10</v>
  </rv>
  <rv s="4">
    <fb>1086.75</fb>
    <v>10</v>
  </rv>
  <rv s="4">
    <fb>311.05</fb>
    <v>10</v>
  </rv>
  <rv s="4">
    <fb>45026</fb>
    <v>9</v>
  </rv>
  <rv s="4">
    <fb>2809.75</fb>
    <v>10</v>
  </rv>
  <rv s="4">
    <fb>17828</fb>
    <v>10</v>
  </rv>
  <rv s="4">
    <fb>252.81059999999999</fb>
    <v>10</v>
  </rv>
  <rv s="4">
    <fb>482.16469999999998</fb>
    <v>10</v>
  </rv>
  <rv s="4">
    <fb>2205.2451999999998</fb>
    <v>10</v>
  </rv>
  <rv s="4">
    <fb>1082.6500000000001</fb>
    <v>10</v>
  </rv>
  <rv s="4">
    <fb>303.07499999999999</fb>
    <v>10</v>
  </rv>
  <rv s="4">
    <fb>45033</fb>
    <v>9</v>
  </rv>
  <rv s="4">
    <fb>2882.1</fb>
    <v>10</v>
  </rv>
  <rv s="4">
    <fb>17624.05</fb>
    <v>10</v>
  </rv>
  <rv s="4">
    <fb>253.5069</fb>
    <v>10</v>
  </rv>
  <rv s="4">
    <fb>487.16469999999998</fb>
    <v>10</v>
  </rv>
  <rv s="4">
    <fb>2204.9101999999998</fb>
    <v>10</v>
  </rv>
  <rv s="4">
    <fb>1146.8499999999999</fb>
    <v>10</v>
  </rv>
  <rv s="4">
    <fb>292.875</fb>
    <v>10</v>
  </rv>
  <rv s="4">
    <fb>45040</fb>
    <v>9</v>
  </rv>
  <rv s="4">
    <fb>2902.35</fb>
    <v>10</v>
  </rv>
  <rv s="4">
    <fb>18065</fb>
    <v>10</v>
  </rv>
  <rv s="4">
    <fb>252.11420000000001</fb>
    <v>10</v>
  </rv>
  <rv s="4">
    <fb>508.62299999999999</fb>
    <v>10</v>
  </rv>
  <rv s="4">
    <fb>2225.2028</fb>
    <v>10</v>
  </rv>
  <rv s="4">
    <fb>1153.55</fb>
    <v>10</v>
  </rv>
  <rv s="4">
    <fb>303.72500000000002</fb>
    <v>10</v>
  </rv>
  <rv s="4">
    <fb>45048</fb>
    <v>9</v>
  </rv>
  <rv s="4">
    <fb>3012.95</fb>
    <v>10</v>
  </rv>
  <rv s="4">
    <fb>18069</fb>
    <v>10</v>
  </rv>
  <rv s="4">
    <fb>261.399</fb>
    <v>10</v>
  </rv>
  <rv s="4">
    <fb>514.37289999999996</fb>
    <v>10</v>
  </rv>
  <rv s="4">
    <fb>2305.4641000000001</fb>
    <v>10</v>
  </rv>
  <rv s="4">
    <fb>1209.5</fb>
    <v>10</v>
  </rv>
  <rv s="4">
    <fb>307.8</fb>
    <v>10</v>
  </rv>
  <rv s="4">
    <fb>45054</fb>
    <v>9</v>
  </rv>
  <rv s="4">
    <fb>3131.1</fb>
    <v>10</v>
  </rv>
  <rv s="4">
    <fb>18314.8</fb>
    <v>10</v>
  </rv>
  <rv s="4">
    <fb>277.44830000000002</fb>
    <v>10</v>
  </rv>
  <rv s="4">
    <fb>528.03959999999995</fb>
    <v>10</v>
  </rv>
  <rv s="4">
    <fb>2364.7147</fb>
    <v>10</v>
  </rv>
  <rv s="4">
    <fb>1301.05</fb>
    <v>10</v>
  </rv>
  <rv s="4">
    <fb>328.65</fb>
    <v>10</v>
  </rv>
  <rv s="4">
    <fb>45061</fb>
    <v>9</v>
  </rv>
  <rv s="4">
    <fb>3084.45</fb>
    <v>10</v>
  </rv>
  <rv s="4">
    <fb>18203.400000000001</fb>
    <v>10</v>
  </rv>
  <rv s="4">
    <fb>270.84949999999998</fb>
    <v>10</v>
  </rv>
  <rv s="4">
    <fb>521.03959999999995</fb>
    <v>10</v>
  </rv>
  <rv s="4">
    <fb>2329.8247999999999</fb>
    <v>10</v>
  </rv>
  <rv s="4">
    <fb>1403.65</fb>
    <v>10</v>
  </rv>
  <rv s="4">
    <fb>311.10000000000002</fb>
    <v>10</v>
  </rv>
  <rv s="4">
    <fb>45068</fb>
    <v>9</v>
  </rv>
  <rv s="4">
    <fb>3128.4</fb>
    <v>10</v>
  </rv>
  <rv s="4">
    <fb>18499.349999999999</fb>
    <v>10</v>
  </rv>
  <rv s="4">
    <fb>272.1096</fb>
    <v>10</v>
  </rv>
  <rv s="4">
    <fb>539.24779999999998</fb>
    <v>10</v>
  </rv>
  <rv s="4">
    <fb>2392.1385</fb>
    <v>10</v>
  </rv>
  <rv s="4">
    <fb>1507.4</fb>
    <v>10</v>
  </rv>
  <rv s="4">
    <fb>298.95</fb>
    <v>10</v>
  </rv>
  <rv s="4">
    <fb>45075</fb>
    <v>9</v>
  </rv>
  <rv s="4">
    <fb>3237.25</fb>
    <v>10</v>
  </rv>
  <rv s="4">
    <fb>18534.099999999999</fb>
    <v>10</v>
  </rv>
  <rv s="4">
    <fb>282.5881</fb>
    <v>10</v>
  </rv>
  <rv s="4">
    <fb>543.70619999999997</fb>
    <v>10</v>
  </rv>
  <rv s="4">
    <fb>2348.1073000000001</fb>
    <v>10</v>
  </rv>
  <rv s="4">
    <fb>1460.45</fb>
    <v>10</v>
  </rv>
  <rv s="4">
    <fb>305.45</fb>
    <v>10</v>
  </rv>
  <rv s="4">
    <fb>45082</fb>
    <v>9</v>
  </rv>
  <rv s="4">
    <fb>3180.55</fb>
    <v>10</v>
  </rv>
  <rv s="4">
    <fb>18563.400000000001</fb>
    <v>10</v>
  </rv>
  <rv s="4">
    <fb>287.56209999999999</fb>
    <v>10</v>
  </rv>
  <rv s="4">
    <fb>539.74779999999998</fb>
    <v>10</v>
  </rv>
  <rv s="4">
    <fb>2255.7375000000002</fb>
    <v>10</v>
  </rv>
  <rv s="4">
    <fb>1417</fb>
    <v>10</v>
  </rv>
  <rv s="4">
    <fb>343.75</fb>
    <v>10</v>
  </rv>
  <rv s="4">
    <fb>45089</fb>
    <v>9</v>
  </rv>
  <rv s="4">
    <fb>3316.85</fb>
    <v>10</v>
  </rv>
  <rv s="4">
    <fb>18826</fb>
    <v>10</v>
  </rv>
  <rv s="4">
    <fb>300.26229999999998</fb>
    <v>10</v>
  </rv>
  <rv s="4">
    <fb>561.2894</fb>
    <v>10</v>
  </rv>
  <rv s="4">
    <fb>2347.4850999999999</fb>
    <v>10</v>
  </rv>
  <rv s="4">
    <fb>1418.05</fb>
    <v>10</v>
  </rv>
  <rv s="4">
    <fb>352.5</fb>
    <v>10</v>
  </rv>
  <rv s="4">
    <fb>45096</fb>
    <v>9</v>
  </rv>
  <rv s="4">
    <fb>3297.7</fb>
    <v>10</v>
  </rv>
  <rv s="4">
    <fb>18665.5</fb>
    <v>10</v>
  </rv>
  <rv s="4">
    <fb>304.0093</fb>
    <v>10</v>
  </rv>
  <rv s="4">
    <fb>563.0394</fb>
    <v>10</v>
  </rv>
  <rv s="4">
    <fb>2347.3416000000002</fb>
    <v>10</v>
  </rv>
  <rv s="4">
    <fb>1421.2</fb>
    <v>10</v>
  </rv>
  <rv s="4">
    <fb>345.65</fb>
    <v>10</v>
  </rv>
  <rv s="4">
    <fb>45103</fb>
    <v>9</v>
  </rv>
  <rv s="4">
    <fb>3362.05</fb>
    <v>10</v>
  </rv>
  <rv s="4">
    <fb>19189.05</fb>
    <v>10</v>
  </rv>
  <rv s="4">
    <fb>298.73689999999999</fb>
    <v>10</v>
  </rv>
  <rv s="4">
    <fb>565.08109999999999</fb>
    <v>10</v>
  </rv>
  <rv s="4">
    <fb>2328.7240000000002</fb>
    <v>10</v>
  </rv>
  <rv s="4">
    <fb>1428.9</fb>
    <v>10</v>
  </rv>
  <rv s="4">
    <fb>345.7</fb>
    <v>10</v>
  </rv>
  <rv s="4">
    <fb>45110</fb>
    <v>9</v>
  </rv>
  <rv s="4">
    <fb>19331.8</fb>
    <v>10</v>
  </rv>
  <rv s="4">
    <fb>312.1651</fb>
    <v>10</v>
  </rv>
  <rv s="4">
    <fb>560.70609999999999</fb>
    <v>10</v>
  </rv>
  <rv s="4">
    <fb>2408.5545000000002</fb>
    <v>10</v>
  </rv>
  <rv s="4">
    <fb>1448.45</fb>
    <v>10</v>
  </rv>
  <rv s="4">
    <fb>358.2</fb>
    <v>10</v>
  </rv>
  <rv s="4">
    <fb>45117</fb>
    <v>9</v>
  </rv>
  <rv s="4">
    <fb>3429.75</fb>
    <v>10</v>
  </rv>
  <rv s="4">
    <fb>19564.5</fb>
    <v>10</v>
  </rv>
  <rv s="4">
    <fb>306.29579999999999</fb>
    <v>10</v>
  </rv>
  <rv s="4">
    <fb>556.74779999999998</fb>
    <v>10</v>
  </rv>
  <rv s="4">
    <fb>2624.4987999999998</fb>
    <v>10</v>
  </rv>
  <rv s="4">
    <fb>1425.7</fb>
    <v>10</v>
  </rv>
  <rv s="4">
    <fb>349.15</fb>
    <v>10</v>
  </rv>
  <rv s="4">
    <fb>45124</fb>
    <v>9</v>
  </rv>
  <rv s="4">
    <fb>3517.7</fb>
    <v>10</v>
  </rv>
  <rv s="4">
    <fb>19745</fb>
    <v>10</v>
  </rv>
  <rv s="4">
    <fb>321.1182</fb>
    <v>10</v>
  </rv>
  <rv s="4">
    <fb>575.95600000000002</fb>
    <v>10</v>
  </rv>
  <rv s="4">
    <fb>2567.4497000000001</fb>
    <v>10</v>
  </rv>
  <rv s="4">
    <fb>1499.9</fb>
    <v>10</v>
  </rv>
  <rv s="4">
    <fb>353.65</fb>
    <v>10</v>
  </rv>
  <rv s="4">
    <fb>45131</fb>
    <v>9</v>
  </rv>
  <rv s="4">
    <fb>3390.7</fb>
    <v>10</v>
  </rv>
  <rv s="4">
    <fb>19646.05</fb>
    <v>10</v>
  </rv>
  <rv s="4">
    <fb>325.89319999999998</fb>
    <v>10</v>
  </rv>
  <rv s="4">
    <fb>566.37270000000001</fb>
    <v>10</v>
  </rv>
  <rv s="4">
    <fb>2602.9618</fb>
    <v>10</v>
  </rv>
  <rv s="4">
    <fb>1575.05</fb>
    <v>10</v>
  </rv>
  <rv s="4">
    <fb>372.8</fb>
    <v>10</v>
  </rv>
  <rv s="4">
    <fb>45138</fb>
    <v>9</v>
  </rv>
  <rv s="4">
    <fb>3339.65</fb>
    <v>10</v>
  </rv>
  <rv s="4">
    <fb>19517</fb>
    <v>10</v>
  </rv>
  <rv s="4">
    <fb>325.39580000000001</fb>
    <v>10</v>
  </rv>
  <rv s="4">
    <fb>587.20600000000002</fb>
    <v>10</v>
  </rv>
  <rv s="4">
    <fb>2701.9841999999999</fb>
    <v>10</v>
  </rv>
  <rv s="4">
    <fb>1583.35</fb>
    <v>10</v>
  </rv>
  <rv s="4">
    <fb>395.7</fb>
    <v>10</v>
  </rv>
  <rv s="4">
    <fb>45145</fb>
    <v>9</v>
  </rv>
  <rv s="4">
    <fb>3185.35</fb>
    <v>10</v>
  </rv>
  <rv s="4">
    <fb>19428.3</fb>
    <v>10</v>
  </rv>
  <rv s="4">
    <fb>327.28590000000003</fb>
    <v>10</v>
  </rv>
  <rv s="4">
    <fb>583.91430000000003</fb>
    <v>10</v>
  </rv>
  <rv s="4">
    <fb>2698.3946999999998</fb>
    <v>10</v>
  </rv>
  <rv s="4">
    <fb>1544.85</fb>
    <v>10</v>
  </rv>
  <rv s="4">
    <fb>387.5</fb>
    <v>10</v>
  </rv>
  <rv s="4">
    <fb>45152</fb>
    <v>9</v>
  </rv>
  <rv s="4">
    <fb>3163.55</fb>
    <v>10</v>
  </rv>
  <rv s="4">
    <fb>19310.150000000001</fb>
    <v>10</v>
  </rv>
  <rv s="4">
    <fb>326.39060000000001</fb>
    <v>10</v>
  </rv>
  <rv s="4">
    <fb>587.70600000000002</fb>
    <v>10</v>
  </rv>
  <rv s="4">
    <fb>2705.6694000000002</fb>
    <v>10</v>
  </rv>
  <rv s="4">
    <fb>1498.05</fb>
    <v>10</v>
  </rv>
  <rv s="4">
    <fb>418.2</fb>
    <v>10</v>
  </rv>
  <rv s="4">
    <fb>45159</fb>
    <v>9</v>
  </rv>
  <rv s="4">
    <fb>3259.3</fb>
    <v>10</v>
  </rv>
  <rv s="4">
    <fb>19265.8</fb>
    <v>10</v>
  </rv>
  <rv s="4">
    <fb>320.5213</fb>
    <v>10</v>
  </rv>
  <rv s="4">
    <fb>586.95600000000002</fb>
    <v>10</v>
  </rv>
  <rv s="4">
    <fb>2646.3229999999999</fb>
    <v>10</v>
  </rv>
  <rv s="4">
    <fb>1515.55</fb>
    <v>10</v>
  </rv>
  <rv s="4">
    <fb>404.6</fb>
    <v>10</v>
  </rv>
  <rv s="4">
    <fb>45166</fb>
    <v>9</v>
  </rv>
  <rv s="4">
    <fb>3259.55</fb>
    <v>10</v>
  </rv>
  <rv s="4">
    <fb>19435.3</fb>
    <v>10</v>
  </rv>
  <rv s="4">
    <fb>338.22859999999997</fb>
    <v>10</v>
  </rv>
  <rv s="4">
    <fb>599.87260000000003</fb>
    <v>10</v>
  </rv>
  <rv s="4">
    <fb>2619.4256999999998</fb>
    <v>10</v>
  </rv>
  <rv s="4">
    <fb>1583.2</fb>
    <v>10</v>
  </rv>
  <rv s="4">
    <fb>418.25</fb>
    <v>10</v>
  </rv>
  <rv s="4">
    <fb>45173</fb>
    <v>9</v>
  </rv>
  <rv s="4">
    <fb>3238.05</fb>
    <v>10</v>
  </rv>
  <rv s="4">
    <fb>19819.95</fb>
    <v>10</v>
  </rv>
  <rv s="4">
    <fb>335.49290000000002</fb>
    <v>10</v>
  </rv>
  <rv s="4">
    <fb>597.41430000000003</fb>
    <v>10</v>
  </rv>
  <rv s="4">
    <fb>2591.5711000000001</fb>
    <v>10</v>
  </rv>
  <rv s="4">
    <fb>1580.8</fb>
    <v>10</v>
  </rv>
  <rv s="4">
    <fb>415.15</fb>
    <v>10</v>
  </rv>
  <rv s="4">
    <fb>45180</fb>
    <v>9</v>
  </rv>
  <rv s="4">
    <fb>3196.65</fb>
    <v>10</v>
  </rv>
  <rv s="4">
    <fb>20192.349999999999</fb>
    <v>10</v>
  </rv>
  <rv s="4">
    <fb>324.94819999999999</fb>
    <v>10</v>
  </rv>
  <rv s="4">
    <fb>599.74760000000003</fb>
    <v>10</v>
  </rv>
  <rv s="4">
    <fb>2484.2212</fb>
    <v>10</v>
  </rv>
  <rv s="4">
    <fb>1535.15</fb>
    <v>10</v>
  </rv>
  <rv s="4">
    <fb>400.5</fb>
    <v>10</v>
  </rv>
  <rv s="4">
    <fb>45187</fb>
    <v>9</v>
  </rv>
  <rv s="4">
    <fb>19674.25</fb>
    <v>10</v>
  </rv>
  <rv s="4">
    <fb>320.77</fb>
    <v>10</v>
  </rv>
  <rv s="4">
    <fb>669.3</fb>
    <v>10</v>
  </rv>
  <rv s="4">
    <fb>2412.2397000000001</fb>
    <v>10</v>
  </rv>
  <rv s="4">
    <fb>1549.15</fb>
    <v>10</v>
  </rv>
  <rv s="4">
    <fb>390.1</fb>
    <v>10</v>
  </rv>
  <rv s="4">
    <fb>45194</fb>
    <v>9</v>
  </rv>
  <rv s="4">
    <fb>3161.05</fb>
    <v>10</v>
  </rv>
  <rv s="4">
    <fb>19638.3</fb>
    <v>10</v>
  </rv>
  <rv s="4">
    <fb>315.79610000000002</fb>
    <v>10</v>
  </rv>
  <rv s="4">
    <fb>568.85</fb>
    <v>10</v>
  </rv>
  <rv s="4">
    <fb>2401.2319000000002</fb>
    <v>10</v>
  </rv>
  <rv s="4">
    <fb>1485.8</fb>
    <v>10</v>
  </rv>
  <rv s="4">
    <fb>388.65</fb>
    <v>10</v>
  </rv>
  <rv s="4">
    <fb>45202</fb>
    <v>9</v>
  </rv>
  <rv s="4">
    <fb>3195.75</fb>
    <v>10</v>
  </rv>
  <rv s="4">
    <fb>19653.5</fb>
    <v>10</v>
  </rv>
  <rv s="4">
    <fb>322.113</fb>
    <v>10</v>
  </rv>
  <rv s="4">
    <fb>565.35</fb>
    <v>10</v>
  </rv>
  <rv s="4">
    <fb>2400.5140000000001</fb>
    <v>10</v>
  </rv>
  <rv s="4">
    <fb>1506.45</fb>
    <v>10</v>
  </rv>
  <rv s="4">
    <fb>387.3</fb>
    <v>10</v>
  </rv>
  <rv s="4">
    <fb>45208</fb>
    <v>9</v>
  </rv>
  <rv s="4">
    <fb>3148.8</fb>
    <v>10</v>
  </rv>
  <rv s="4">
    <fb>19751.05</fb>
    <v>10</v>
  </rv>
  <rv s="4">
    <fb>321.21769999999998</fb>
    <v>10</v>
  </rv>
  <rv s="4">
    <fb>568.25</fb>
    <v>10</v>
  </rv>
  <rv s="4">
    <fb>2375.6747</fb>
    <v>10</v>
  </rv>
  <rv s="4">
    <fb>1455.4</fb>
    <v>10</v>
  </rv>
  <rv s="4">
    <fb>386.65</fb>
    <v>10</v>
  </rv>
  <rv s="4">
    <fb>45215</fb>
    <v>9</v>
  </rv>
  <rv s="4">
    <fb>3105.85</fb>
    <v>10</v>
  </rv>
  <rv s="4">
    <fb>19542.650000000001</fb>
    <v>10</v>
  </rv>
  <rv s="4">
    <fb>319.5763</fb>
    <v>10</v>
  </rv>
  <rv s="4">
    <fb>584.25</fb>
    <v>10</v>
  </rv>
  <rv s="4">
    <fb>2337.3388</fb>
    <v>10</v>
  </rv>
  <rv s="4">
    <fb>1458.6</fb>
    <v>10</v>
  </rv>
  <rv s="4">
    <fb>371.15</fb>
    <v>10</v>
  </rv>
  <rv s="4">
    <fb>45222</fb>
    <v>9</v>
  </rv>
  <rv s="4">
    <fb>2955.15</fb>
    <v>10</v>
  </rv>
  <rv s="4">
    <fb>19047.25</fb>
    <v>10</v>
  </rv>
  <rv s="4">
    <fb>311.91640000000001</fb>
    <v>10</v>
  </rv>
  <rv s="4">
    <fb>537.54999999999995</fb>
    <v>10</v>
  </rv>
  <rv s="4">
    <fb>2317.7161999999998</fb>
    <v>10</v>
  </rv>
  <rv s="4">
    <fb>1411.8</fb>
    <v>10</v>
  </rv>
  <rv s="4">
    <fb>368.3</fb>
    <v>10</v>
  </rv>
  <rv s="4">
    <fb>45229</fb>
    <v>9</v>
  </rv>
  <rv s="4">
    <fb>2977.85</fb>
    <v>10</v>
  </rv>
  <rv s="4">
    <fb>19230.599999999999</fb>
    <v>10</v>
  </rv>
  <rv s="4">
    <fb>303.41090000000003</fb>
    <v>10</v>
  </rv>
  <rv s="4">
    <fb>553.15</fb>
    <v>10</v>
  </rv>
  <rv s="4">
    <fb>2338.0088999999998</fb>
    <v>10</v>
  </rv>
  <rv s="4">
    <fb>1464.1</fb>
    <v>10</v>
  </rv>
  <rv s="4">
    <fb>369</fb>
    <v>10</v>
  </rv>
  <rv s="4">
    <fb>45236</fb>
    <v>9</v>
  </rv>
  <rv s="4">
    <fb>3076.45</fb>
    <v>10</v>
  </rv>
  <rv s="4">
    <fb>19425.349999999999</fb>
    <v>10</v>
  </rv>
  <rv s="4">
    <fb>302.8141</fb>
    <v>10</v>
  </rv>
  <rv s="4">
    <fb>578.4</fb>
    <v>10</v>
  </rv>
  <rv s="4">
    <fb>2347.7244000000001</fb>
    <v>10</v>
  </rv>
  <rv s="4">
    <fb>1502.95</fb>
    <v>10</v>
  </rv>
  <rv s="4">
    <fb>375.55</fb>
    <v>10</v>
  </rv>
  <rv s="4">
    <fb>45242</fb>
    <v>9</v>
  </rv>
  <rv s="4">
    <fb>3168.9</fb>
    <v>10</v>
  </rv>
  <rv s="4">
    <fb>19731.8</fb>
    <v>10</v>
  </rv>
  <rv s="4">
    <fb>323.7047</fb>
    <v>10</v>
  </rv>
  <rv s="4">
    <fb>587.79999999999995</fb>
    <v>10</v>
  </rv>
  <rv s="4">
    <fb>2374.9088999999999</fb>
    <v>10</v>
  </rv>
  <rv s="4">
    <fb>1539.65</fb>
    <v>10</v>
  </rv>
  <rv s="4">
    <fb>380.8</fb>
    <v>10</v>
  </rv>
  <rv s="4">
    <fb>45250</fb>
    <v>9</v>
  </rv>
  <rv s="4">
    <fb>3136.15</fb>
    <v>10</v>
  </rv>
  <rv s="4">
    <fb>19794.7</fb>
    <v>10</v>
  </rv>
  <rv s="4">
    <fb>318.68099999999998</fb>
    <v>10</v>
  </rv>
  <rv s="4">
    <fb>573.54999999999995</fb>
    <v>10</v>
  </rv>
  <rv s="4">
    <fb>2370.5536999999999</fb>
    <v>10</v>
  </rv>
  <rv s="4">
    <fb>1482.5</fb>
    <v>10</v>
  </rv>
  <rv s="4">
    <fb>45258</fb>
    <v>9</v>
  </rv>
  <rv s="4">
    <fb>3173.4</fb>
    <v>10</v>
  </rv>
  <rv s="4">
    <fb>20267.900000000001</fb>
    <v>10</v>
  </rv>
  <rv s="4">
    <fb>318.38249999999999</fb>
    <v>10</v>
  </rv>
  <rv s="4">
    <fb>586.15</fb>
    <v>10</v>
  </rv>
  <rv s="4">
    <fb>2375.3397</fb>
    <v>10</v>
  </rv>
  <rv s="4">
    <fb>1497.75</fb>
    <v>10</v>
  </rv>
  <rv s="4">
    <fb>382.65</fb>
    <v>10</v>
  </rv>
  <rv s="4">
    <fb>45264</fb>
    <v>9</v>
  </rv>
  <rv s="4">
    <fb>3232</fb>
    <v>10</v>
  </rv>
  <rv s="4">
    <fb>20969.400000000001</fb>
    <v>10</v>
  </rv>
  <rv s="4">
    <fb>328.62889999999999</fb>
    <v>10</v>
  </rv>
  <rv s="4">
    <fb>578.95000000000005</fb>
    <v>10</v>
  </rv>
  <rv s="4">
    <fb>2452.0113999999999</fb>
    <v>10</v>
  </rv>
  <rv s="4">
    <fb>1489</fb>
    <v>10</v>
  </rv>
  <rv s="4">
    <fb>392.2</fb>
    <v>10</v>
  </rv>
  <rv s="4">
    <fb>45271</fb>
    <v>9</v>
  </rv>
  <rv s="4">
    <fb>3313.9</fb>
    <v>10</v>
  </rv>
  <rv s="4">
    <fb>21456.65</fb>
    <v>10</v>
  </rv>
  <rv s="4">
    <fb>331.16559999999998</fb>
    <v>10</v>
  </rv>
  <rv s="4">
    <fb>585.79999999999995</fb>
    <v>10</v>
  </rv>
  <rv s="4">
    <fb>2444.9281000000001</fb>
    <v>10</v>
  </rv>
  <rv s="4">
    <fb>1478.9</fb>
    <v>10</v>
  </rv>
  <rv s="4">
    <fb>390.4</fb>
    <v>10</v>
  </rv>
  <rv s="4">
    <fb>45278</fb>
    <v>9</v>
  </rv>
  <rv s="4">
    <fb>3341.3</fb>
    <v>10</v>
  </rv>
  <rv s="4">
    <fb>21349.4</fb>
    <v>10</v>
  </rv>
  <rv s="4">
    <fb>583.15</fb>
    <v>10</v>
  </rv>
  <rv s="4">
    <fb>2456.0315999999998</fb>
    <v>10</v>
  </rv>
  <rv s="4">
    <fb>1465.6</fb>
    <v>10</v>
  </rv>
  <rv s="4">
    <fb>399.35</fb>
    <v>10</v>
  </rv>
  <rv s="4">
    <fb>45286</fb>
    <v>9</v>
  </rv>
  <rv s="4">
    <fb>3402.4</fb>
    <v>10</v>
  </rv>
  <rv s="4">
    <fb>21731.4</fb>
    <v>10</v>
  </rv>
  <rv s="4">
    <fb>331.5138</fb>
    <v>10</v>
  </rv>
  <rv s="4">
    <fb>604.65</fb>
    <v>10</v>
  </rv>
  <rv s="4">
    <fb>2495.8510999999999</fb>
    <v>10</v>
  </rv>
  <rv s="4">
    <fb>1490.5</fb>
    <v>10</v>
  </rv>
  <rv s="4">
    <fb>409.85</fb>
    <v>10</v>
  </rv>
  <rv s="4">
    <fb>45292</fb>
    <v>9</v>
  </rv>
  <rv s="4">
    <fb>3355.55</fb>
    <v>10</v>
  </rv>
  <rv s="4">
    <fb>21710.799999999999</fb>
    <v>10</v>
  </rv>
  <rv s="4">
    <fb>334.94580000000002</fb>
    <v>10</v>
  </rv>
  <rv s="4">
    <fb>596.35</fb>
    <v>10</v>
  </rv>
  <rv s="4">
    <fb>2545.1948000000002</fb>
    <v>10</v>
  </rv>
  <rv s="4">
    <fb>1498.75</fb>
    <v>10</v>
  </rv>
  <rv s="4">
    <fb>427.8</fb>
    <v>10</v>
  </rv>
  <rv s="4">
    <fb>45299</fb>
    <v>9</v>
  </rv>
  <rv s="4">
    <fb>3277.8</fb>
    <v>10</v>
  </rv>
  <rv s="4">
    <fb>21894.55</fb>
    <v>10</v>
  </rv>
  <rv s="4">
    <fb>338.52699999999999</fb>
    <v>10</v>
  </rv>
  <rv s="4">
    <fb>595.79999999999995</fb>
    <v>10</v>
  </rv>
  <rv s="4">
    <fb>2547.5877999999998</fb>
    <v>10</v>
  </rv>
  <rv s="4">
    <fb>1484.55</fb>
    <v>10</v>
  </rv>
  <rv s="4">
    <fb>424.9</fb>
    <v>10</v>
  </rv>
  <rv s="4">
    <fb>45306</fb>
    <v>9</v>
  </rv>
  <rv s="4">
    <fb>3138.8</fb>
    <v>10</v>
  </rv>
  <rv s="4">
    <fb>21571.8</fb>
    <v>10</v>
  </rv>
  <rv s="4">
    <fb>339.77050000000003</fb>
    <v>10</v>
  </rv>
  <rv s="4">
    <fb>575.4</fb>
    <v>10</v>
  </rv>
  <rv s="4">
    <fb>2565.8703</fb>
    <v>10</v>
  </rv>
  <rv s="4">
    <fb>1460.5</fb>
    <v>10</v>
  </rv>
  <rv s="4">
    <fb>406.45</fb>
    <v>10</v>
  </rv>
  <rv s="4">
    <fb>45314</fb>
    <v>9</v>
  </rv>
  <rv s="4">
    <fb>2949.2</fb>
    <v>10</v>
  </rv>
  <rv s="4">
    <fb>21352.6</fb>
    <v>10</v>
  </rv>
  <rv s="4">
    <fb>331.01639999999998</fb>
    <v>10</v>
  </rv>
  <rv s="4">
    <fb>554.70000000000005</fb>
    <v>10</v>
  </rv>
  <rv s="4">
    <fb>2483.6947</fb>
    <v>10</v>
  </rv>
  <rv s="4">
    <fb>1450</fb>
    <v>10</v>
  </rv>
  <rv s="4">
    <fb>45320</fb>
    <v>9</v>
  </rv>
  <rv s="4">
    <fb>2936.3</fb>
    <v>10</v>
  </rv>
  <rv s="4">
    <fb>21853.8</fb>
    <v>10</v>
  </rv>
  <rv s="4">
    <fb>338.726</fb>
    <v>10</v>
  </rv>
  <rv s="4">
    <fb>569.54999999999995</fb>
    <v>10</v>
  </rv>
  <rv s="4">
    <fb>2567.6889999999999</fb>
    <v>10</v>
  </rv>
  <rv s="4">
    <fb>1418.9</fb>
    <v>10</v>
  </rv>
  <rv s="4">
    <fb>377.85</fb>
    <v>10</v>
  </rv>
  <rv s="4">
    <fb>45327</fb>
    <v>9</v>
  </rv>
  <rv s="4">
    <fb>2951.65</fb>
    <v>10</v>
  </rv>
  <rv s="4">
    <fb>21782.5</fb>
    <v>10</v>
  </rv>
  <rv s="4">
    <fb>315.09969999999998</fb>
    <v>10</v>
  </rv>
  <rv s="4">
    <fb>554</fb>
    <v>10</v>
  </rv>
  <rv s="4">
    <fb>2752.8114999999998</fb>
    <v>10</v>
  </rv>
  <rv s="4">
    <fb>1423.3</fb>
    <v>10</v>
  </rv>
  <rv s="4">
    <fb>376.7</fb>
    <v>10</v>
  </rv>
  <rv s="4">
    <fb>45334</fb>
    <v>9</v>
  </rv>
  <rv s="4">
    <fb>3007.9</fb>
    <v>10</v>
  </rv>
  <rv s="4">
    <fb>22040.7</fb>
    <v>10</v>
  </rv>
  <rv s="4">
    <fb>562.9</fb>
    <v>10</v>
  </rv>
  <rv s="4">
    <fb>2718.8787000000002</fb>
    <v>10</v>
  </rv>
  <rv s="4">
    <fb>1494.7</fb>
    <v>10</v>
  </rv>
  <rv s="4">
    <fb>369.25</fb>
    <v>10</v>
  </rv>
  <rv s="4">
    <fb>45341</fb>
    <v>9</v>
  </rv>
  <rv s="4">
    <fb>2985.95</fb>
    <v>10</v>
  </rv>
  <rv s="4">
    <fb>22212.7</fb>
    <v>10</v>
  </rv>
  <rv s="4">
    <fb>300.3768</fb>
    <v>10</v>
  </rv>
  <rv s="4">
    <fb>571.9</fb>
    <v>10</v>
  </rv>
  <rv s="4">
    <fb>2616.6019000000001</fb>
    <v>10</v>
  </rv>
  <rv s="4">
    <fb>1443.5</fb>
    <v>10</v>
  </rv>
  <rv s="4">
    <fb>364.6</fb>
    <v>10</v>
  </rv>
  <rv s="4">
    <fb>45348</fb>
    <v>9</v>
  </rv>
  <rv s="4">
    <fb>2849.8</fb>
    <v>10</v>
  </rv>
  <rv s="4">
    <fb>22378.400000000001</fb>
    <v>10</v>
  </rv>
  <rv s="4">
    <fb>290.97609999999997</fb>
    <v>10</v>
  </rv>
  <rv s="4">
    <fb>593.15</fb>
    <v>10</v>
  </rv>
  <rv s="4">
    <fb>2414.6806000000001</fb>
    <v>10</v>
  </rv>
  <rv s="4">
    <fb>1408.15</fb>
    <v>10</v>
  </rv>
  <rv s="4">
    <fb>348.6</fb>
    <v>10</v>
  </rv>
  <rv s="4">
    <fb>45355</fb>
    <v>9</v>
  </rv>
  <rv s="4">
    <fb>2870.55</fb>
    <v>10</v>
  </rv>
  <rv s="4">
    <fb>22493.55</fb>
    <v>10</v>
  </rv>
  <rv s="4">
    <fb>282.57010000000002</fb>
    <v>10</v>
  </rv>
  <rv s="4">
    <fb>573.4</fb>
    <v>10</v>
  </rv>
  <rv s="4">
    <fb>2315.1795999999999</fb>
    <v>10</v>
  </rv>
  <rv s="4">
    <fb>1363.55</fb>
    <v>10</v>
  </rv>
  <rv s="4">
    <fb>334.5</fb>
    <v>10</v>
  </rv>
  <rv s="4">
    <fb>45362</fb>
    <v>9</v>
  </rv>
  <rv s="4">
    <fb>2867.55</fb>
    <v>10</v>
  </rv>
  <rv s="4">
    <fb>22023.35</fb>
    <v>10</v>
  </rv>
  <rv s="4">
    <fb>269.93630000000002</fb>
    <v>10</v>
  </rv>
  <rv s="4">
    <fb>557.79999999999995</fb>
    <v>10</v>
  </rv>
  <rv s="4">
    <fb>2292.3982999999998</fb>
    <v>10</v>
  </rv>
  <rv s="4">
    <fb>1341.45</fb>
    <v>10</v>
  </rv>
  <rv s="4">
    <fb>302.5</fb>
    <v>10</v>
  </rv>
  <rv s="4">
    <fb>45369</fb>
    <v>9</v>
  </rv>
  <rv s="4">
    <fb>2841.5</fb>
    <v>10</v>
  </rv>
  <rv s="4">
    <fb>22096.75</fb>
    <v>10</v>
  </rv>
  <rv s="4">
    <fb>267.25029999999998</fb>
    <v>10</v>
  </rv>
  <rv s="4">
    <fb>558.35</fb>
    <v>10</v>
  </rv>
  <rv s="4">
    <fb>2357.105</fb>
    <v>10</v>
  </rv>
  <rv s="4">
    <fb>1321.2</fb>
    <v>10</v>
  </rv>
  <rv s="4">
    <fb>45377</fb>
    <v>9</v>
  </rv>
  <rv s="4">
    <fb>2846.75</fb>
    <v>10</v>
  </rv>
  <rv s="4">
    <fb>22326.9</fb>
    <v>10</v>
  </rv>
  <rv s="4">
    <fb>260.88369999999998</fb>
    <v>10</v>
  </rv>
  <rv s="4">
    <fb>573.04999999999995</fb>
    <v>10</v>
  </rv>
  <rv s="4">
    <fb>2282.6347999999998</fb>
    <v>10</v>
  </rv>
  <rv s="4">
    <fb>1256.5999999999999</fb>
    <v>10</v>
  </rv>
  <rv s="4">
    <fb>284.64999999999998</fb>
    <v>10</v>
  </rv>
  <rv s="4">
    <fb>45383</fb>
    <v>9</v>
  </rv>
  <rv s="4">
    <fb>2883.45</fb>
    <v>10</v>
  </rv>
  <rv s="4">
    <fb>22513.7</fb>
    <v>10</v>
  </rv>
  <rv s="4">
    <fb>283.6644</fb>
    <v>10</v>
  </rv>
  <rv s="4">
    <fb>562.15</fb>
    <v>10</v>
  </rv>
  <rv s="4">
    <fb>2366.7727</fb>
    <v>10</v>
  </rv>
  <rv s="4">
    <fb>1394.65</fb>
    <v>10</v>
  </rv>
  <rv s="4">
    <fb>352.2</fb>
    <v>10</v>
  </rv>
  <rv s="4">
    <fb>45390</fb>
    <v>9</v>
  </rv>
  <rv s="4">
    <fb>2854.5</fb>
    <v>10</v>
  </rv>
  <rv s="4">
    <fb>22519.4</fb>
    <v>10</v>
  </rv>
  <rv s="4">
    <fb>278.9391</fb>
    <v>10</v>
  </rv>
  <rv s="4">
    <fb>556.75</fb>
    <v>10</v>
  </rv>
  <rv s="4">
    <fb>2350.596</fb>
    <v>10</v>
  </rv>
  <rv s="4">
    <fb>1347.8</fb>
    <v>10</v>
  </rv>
  <rv s="4">
    <fb>337.3</fb>
    <v>10</v>
  </rv>
  <rv s="4">
    <fb>45397</fb>
    <v>9</v>
  </rv>
  <rv s="4">
    <fb>2808.55</fb>
    <v>10</v>
  </rv>
  <rv s="4">
    <fb>22147</fb>
    <v>10</v>
  </rv>
  <rv s="4">
    <fb>271.92579999999998</fb>
    <v>10</v>
  </rv>
  <rv s="4">
    <fb>504.55</fb>
    <v>10</v>
  </rv>
  <rv s="4">
    <fb>2303.2624999999998</fb>
    <v>10</v>
  </rv>
  <rv s="4">
    <fb>1312.25</fb>
    <v>10</v>
  </rv>
  <rv s="4">
    <fb>319.75</fb>
    <v>10</v>
  </rv>
  <rv s="4">
    <fb>45404</fb>
    <v>9</v>
  </rv>
  <rv s="4">
    <fb>2844.15</fb>
    <v>10</v>
  </rv>
  <rv s="4">
    <fb>22419.95</fb>
    <v>10</v>
  </rv>
  <rv s="4">
    <fb>278.44170000000003</fb>
    <v>10</v>
  </rv>
  <rv s="4">
    <fb>503.1</fb>
    <v>10</v>
  </rv>
  <rv s="4">
    <fb>2337.4823999999999</fb>
    <v>10</v>
  </rv>
  <rv s="4">
    <fb>1325</fb>
    <v>10</v>
  </rv>
  <rv s="4">
    <fb>318.55</fb>
    <v>10</v>
  </rv>
  <rv s="4">
    <fb>45411</fb>
    <v>9</v>
  </rv>
  <rv s="4">
    <fb>2929.75</fb>
    <v>10</v>
  </rv>
  <rv s="4">
    <fb>22475.85</fb>
    <v>10</v>
  </rv>
  <rv s="4">
    <fb>286.05189999999999</fb>
    <v>10</v>
  </rv>
  <rv s="4">
    <fb>523.25</fb>
    <v>10</v>
  </rv>
  <rv s="4">
    <fb>2406.9272999999998</fb>
    <v>10</v>
  </rv>
  <rv s="4">
    <fb>1380.2</fb>
    <v>10</v>
  </rv>
  <rv s="4">
    <fb>316.25</fb>
    <v>10</v>
  </rv>
  <rv s="4">
    <fb>45418</fb>
    <v>9</v>
  </rv>
  <rv s="4">
    <fb>2771.25</fb>
    <v>10</v>
  </rv>
  <rv s="4">
    <fb>22055.200000000001</fb>
    <v>10</v>
  </rv>
  <rv s="4">
    <fb>276.4024</fb>
    <v>10</v>
  </rv>
  <rv s="4">
    <fb>490.25</fb>
    <v>10</v>
  </rv>
  <rv s="4">
    <fb>2388.0225999999998</fb>
    <v>10</v>
  </rv>
  <rv s="4">
    <fb>1354.55</fb>
    <v>10</v>
  </rv>
  <rv s="4">
    <fb>317.25</fb>
    <v>10</v>
  </rv>
  <rv s="4">
    <fb>45425</fb>
    <v>9</v>
  </rv>
  <rv s="4">
    <fb>2816.35</fb>
    <v>10</v>
  </rv>
  <rv s="4">
    <fb>22502</fb>
    <v>10</v>
  </rv>
  <rv s="4">
    <fb>494.2</fb>
    <v>10</v>
  </rv>
  <rv s="4">
    <fb>2504.1788000000001</fb>
    <v>10</v>
  </rv>
  <rv s="4">
    <fb>1365</fb>
    <v>10</v>
  </rv>
  <rv s="4">
    <fb>318.85000000000002</fb>
    <v>10</v>
  </rv>
  <rv s="4">
    <fb>45433</fb>
    <v>9</v>
  </rv>
  <rv s="4">
    <fb>2874.75</fb>
    <v>10</v>
  </rv>
  <rv s="4">
    <fb>22957.1</fb>
    <v>10</v>
  </rv>
  <rv s="4">
    <fb>271.82639999999998</fb>
    <v>10</v>
  </rv>
  <rv s="4">
    <fb>487.7</fb>
    <v>10</v>
  </rv>
  <rv s="4">
    <fb>2462.2055999999998</fb>
    <v>10</v>
  </rv>
  <rv s="4">
    <fb>1356.4</fb>
    <v>10</v>
  </rv>
  <rv s="4">
    <fb>327.10000000000002</fb>
    <v>10</v>
  </rv>
  <rv s="4">
    <fb>45439</fb>
    <v>9</v>
  </rv>
  <rv s="4">
    <fb>2881.2</fb>
    <v>10</v>
  </rv>
  <rv s="4">
    <fb>22530.7</fb>
    <v>10</v>
  </rv>
  <rv s="4">
    <fb>268.19540000000001</fb>
    <v>10</v>
  </rv>
  <rv s="4">
    <fb>460</fb>
    <v>10</v>
  </rv>
  <rv s="4">
    <fb>2455.7444999999998</fb>
    <v>10</v>
  </rv>
  <rv s="4">
    <fb>1340.3</fb>
    <v>10</v>
  </rv>
  <rv s="4">
    <fb>313.3</fb>
    <v>10</v>
  </rv>
  <rv s="4">
    <fb>45446</fb>
    <v>9</v>
  </rv>
  <rv s="4">
    <fb>2927.7</fb>
    <v>10</v>
  </rv>
  <rv s="4">
    <fb>23290.15</fb>
    <v>10</v>
  </rv>
  <rv s="4">
    <fb>276.55160000000001</fb>
    <v>10</v>
  </rv>
  <rv s="4">
    <fb>482.55</fb>
    <v>10</v>
  </rv>
  <rv s="4">
    <fb>2543.7111</fb>
    <v>10</v>
  </rv>
  <rv s="4">
    <fb>1365.65</fb>
    <v>10</v>
  </rv>
  <rv s="4">
    <fb>323.10000000000002</fb>
    <v>10</v>
  </rv>
  <rv s="4">
    <fb>45453</fb>
    <v>9</v>
  </rv>
  <rv s="4">
    <fb>2921.6</fb>
    <v>10</v>
  </rv>
  <rv s="4">
    <fb>23465.599999999999</fb>
    <v>10</v>
  </rv>
  <rv s="4">
    <fb>281.42610000000002</fb>
    <v>10</v>
  </rv>
  <rv s="4">
    <fb>502.7</fb>
    <v>10</v>
  </rv>
  <rv s="4">
    <fb>2726.297</fb>
    <v>10</v>
  </rv>
  <rv s="4">
    <fb>1374.9</fb>
    <v>10</v>
  </rv>
  <rv s="4">
    <fb>45461</fb>
    <v>9</v>
  </rv>
  <rv s="4">
    <fb>2890.85</fb>
    <v>10</v>
  </rv>
  <rv s="4">
    <fb>23501.1</fb>
    <v>10</v>
  </rv>
  <rv s="4">
    <fb>272.7217</fb>
    <v>10</v>
  </rv>
  <rv s="4">
    <fb>502.2</fb>
    <v>10</v>
  </rv>
  <rv s="4">
    <fb>2793.5403000000001</fb>
    <v>10</v>
  </rv>
  <rv s="4">
    <fb>1363.1</fb>
    <v>10</v>
  </rv>
  <rv s="4">
    <fb>323.7</fb>
    <v>10</v>
  </rv>
  <rv s="4">
    <fb>45467</fb>
    <v>9</v>
  </rv>
  <rv s="4">
    <fb>2917.05</fb>
    <v>10</v>
  </rv>
  <rv s="4">
    <fb>24010.6</fb>
    <v>10</v>
  </rv>
  <rv s="4">
    <fb>268.69279999999998</fb>
    <v>10</v>
  </rv>
  <rv s="4">
    <fb>504.2</fb>
    <v>10</v>
  </rv>
  <rv s="4">
    <fb>2714.0448999999999</fb>
    <v>10</v>
  </rv>
  <rv s="4">
    <fb>1373</fb>
    <v>10</v>
  </rv>
  <rv s="4">
    <fb>320.64999999999998</fb>
    <v>10</v>
  </rv>
  <rv s="4">
    <fb>45474</fb>
    <v>9</v>
  </rv>
  <rv s="4">
    <fb>2935.9</fb>
    <v>10</v>
  </rv>
  <rv s="4">
    <fb>24323.85</fb>
    <v>10</v>
  </rv>
  <rv s="4">
    <fb>265.55919999999998</fb>
    <v>10</v>
  </rv>
  <rv s="4">
    <fb>514.4</fb>
    <v>10</v>
  </rv>
  <rv s="4">
    <fb>2817.9488999999999</fb>
    <v>10</v>
  </rv>
  <rv s="4">
    <fb>1399.9</fb>
    <v>10</v>
  </rv>
  <rv s="4">
    <fb>344.65</fb>
    <v>10</v>
  </rv>
  <rv s="4">
    <fb>45481</fb>
    <v>9</v>
  </rv>
  <rv s="4">
    <fb>2999.15</fb>
    <v>10</v>
  </rv>
  <rv s="4">
    <fb>24502.15</fb>
    <v>10</v>
  </rv>
  <rv s="4">
    <fb>276.65109999999999</fb>
    <v>10</v>
  </rv>
  <rv s="4">
    <fb>526</fb>
    <v>10</v>
  </rv>
  <rv s="4">
    <fb>2761.5219999999999</fb>
    <v>10</v>
  </rv>
  <rv s="4">
    <fb>1520.85</fb>
    <v>10</v>
  </rv>
  <rv s="4">
    <fb>338.8</fb>
    <v>10</v>
  </rv>
  <rv s="4">
    <fb>45488</fb>
    <v>9</v>
  </rv>
  <rv s="4">
    <fb>2946.05</fb>
    <v>10</v>
  </rv>
  <rv s="4">
    <fb>24530.9</fb>
    <v>10</v>
  </rv>
  <rv s="4">
    <fb>270.08550000000002</fb>
    <v>10</v>
  </rv>
  <rv s="4">
    <fb>523.75</fb>
    <v>10</v>
  </rv>
  <rv s="4">
    <fb>2719.9317000000001</fb>
    <v>10</v>
  </rv>
  <rv s="4">
    <fb>1452.8</fb>
    <v>10</v>
  </rv>
  <rv s="4">
    <fb>357.85</fb>
    <v>10</v>
  </rv>
  <rv s="4">
    <fb>45495</fb>
    <v>9</v>
  </rv>
  <rv s="4">
    <fb>2950.15</fb>
    <v>10</v>
  </rv>
  <rv s="4">
    <fb>24834.85</fb>
    <v>10</v>
  </rv>
  <rv s="4">
    <fb>273.8657</fb>
    <v>10</v>
  </rv>
  <rv s="4">
    <fb>542.4</fb>
    <v>10</v>
  </rv>
  <rv s="4">
    <fb>2749.4612999999999</fb>
    <v>10</v>
  </rv>
  <rv s="4">
    <fb>1491.95</fb>
    <v>10</v>
  </rv>
  <rv s="4">
    <fb>351.95</fb>
    <v>10</v>
  </rv>
  <rv s="4">
    <fb>45502</fb>
    <v>9</v>
  </rv>
  <rv s="4">
    <fb>3106.7</fb>
    <v>10</v>
  </rv>
  <rv s="4">
    <fb>24717.7</fb>
    <v>10</v>
  </rv>
  <rv s="4">
    <fb>301.02350000000001</fb>
    <v>10</v>
  </rv>
  <rv s="4">
    <fb>550.25</fb>
    <v>10</v>
  </rv>
  <rv s="4">
    <fb>2984.0709999999999</fb>
    <v>10</v>
  </rv>
  <rv s="4">
    <fb>1481</fb>
    <v>10</v>
  </rv>
  <rv s="4">
    <fb>360.7</fb>
    <v>10</v>
  </rv>
  <rv s="4">
    <fb>45509</fb>
    <v>9</v>
  </rv>
  <rv s="4">
    <fb>3040.6</fb>
    <v>10</v>
  </rv>
  <rv s="4">
    <fb>24367.5</fb>
    <v>10</v>
  </rv>
  <rv s="4">
    <fb>292.16980000000001</fb>
    <v>10</v>
  </rv>
  <rv s="4">
    <fb>531.65</fb>
    <v>10</v>
  </rv>
  <rv s="4">
    <fb>3201.4989999999998</fb>
    <v>10</v>
  </rv>
  <rv s="4">
    <fb>1422.45</fb>
    <v>10</v>
  </rv>
  <rv s="4">
    <fb>343.35</fb>
    <v>10</v>
  </rv>
  <rv s="4">
    <fb>45516</fb>
    <v>9</v>
  </rv>
  <rv s="4">
    <fb>3048.15</fb>
    <v>10</v>
  </rv>
  <rv s="4">
    <fb>24541.15</fb>
    <v>10</v>
  </rv>
  <rv s="4">
    <fb>288.58859999999999</fb>
    <v>10</v>
  </rv>
  <rv s="4">
    <fb>549.9</fb>
    <v>10</v>
  </rv>
  <rv s="4">
    <fb>3052.7022000000002</fb>
    <v>10</v>
  </rv>
  <rv s="4">
    <fb>1435.35</fb>
    <v>10</v>
  </rv>
  <rv s="4">
    <fb>325.39999999999998</fb>
    <v>10</v>
  </rv>
  <rv s="4">
    <fb>45523</fb>
    <v>9</v>
  </rv>
  <rv s="4">
    <fb>3154.65</fb>
    <v>10</v>
  </rv>
  <rv s="4">
    <fb>24823.15</fb>
    <v>10</v>
  </rv>
  <rv s="4">
    <fb>292.76670000000001</fb>
    <v>10</v>
  </rv>
  <rv s="4">
    <fb>565.70000000000005</fb>
    <v>10</v>
  </rv>
  <rv s="4">
    <fb>3131.5754999999999</fb>
    <v>10</v>
  </rv>
  <rv s="4">
    <fb>1449.4</fb>
    <v>10</v>
  </rv>
  <rv s="4">
    <fb>336.95</fb>
    <v>10</v>
  </rv>
  <rv s="4">
    <fb>45530</fb>
    <v>9</v>
  </rv>
  <rv s="4">
    <fb>3126.8</fb>
    <v>10</v>
  </rv>
  <rv s="4">
    <fb>25235.9</fb>
    <v>10</v>
  </rv>
  <rv s="4">
    <fb>294.95519999999999</fb>
    <v>10</v>
  </rv>
  <rv s="4">
    <fb>571.04999999999995</fb>
    <v>10</v>
  </rv>
  <rv s="4">
    <fb>3316.8416000000002</fb>
    <v>10</v>
  </rv>
  <rv s="4">
    <fb>1450.5</fb>
    <v>10</v>
  </rv>
  <rv s="4">
    <fb>321.64999999999998</fb>
    <v>10</v>
  </rv>
  <rv s="4">
    <fb>45537</fb>
    <v>9</v>
  </rv>
  <rv s="4">
    <fb>3273.7</fb>
    <v>10</v>
  </rv>
  <rv s="4">
    <fb>24852.15</fb>
    <v>10</v>
  </rv>
  <rv s="4">
    <fb>304.45549999999997</fb>
    <v>10</v>
  </rv>
  <rv s="4">
    <fb>596.29999999999995</fb>
    <v>10</v>
  </rv>
  <rv s="4">
    <fb>3608.9789999999998</fb>
    <v>10</v>
  </rv>
  <rv s="4">
    <fb>1479.35</fb>
    <v>10</v>
  </rv>
  <rv s="4">
    <fb>333.7</fb>
    <v>10</v>
  </rv>
  <rv s="4">
    <fb>45544</fb>
    <v>9</v>
  </rv>
  <rv s="4">
    <fb>3358.05</fb>
    <v>10</v>
  </rv>
  <rv s="4">
    <fb>25356.5</fb>
    <v>10</v>
  </rv>
  <rv s="4">
    <fb>309.77760000000001</fb>
    <v>10</v>
  </rv>
  <rv s="4">
    <fb>622.65</fb>
    <v>10</v>
  </rv>
  <rv s="4">
    <fb>3532.5945000000002</fb>
    <v>10</v>
  </rv>
  <rv s="4">
    <fb>1502.15</fb>
    <v>10</v>
  </rv>
  <rv s="4">
    <fb>350.9</fb>
    <v>10</v>
  </rv>
  <rv s="4">
    <fb>45551</fb>
    <v>9</v>
  </rv>
  <rv s="4">
    <fb>3306.95</fb>
    <v>10</v>
  </rv>
  <rv s="4">
    <fb>25790.95</fb>
    <v>10</v>
  </rv>
  <rv s="4">
    <fb>300.57580000000002</fb>
    <v>10</v>
  </rv>
  <rv s="4">
    <fb>622.85</fb>
    <v>10</v>
  </rv>
  <rv s="4">
    <fb>3548.3883000000001</fb>
    <v>10</v>
  </rv>
  <rv s="4">
    <fb>1481.3</fb>
    <v>10</v>
  </rv>
  <rv s="4">
    <fb>348.1</fb>
    <v>10</v>
  </rv>
  <rv s="4">
    <fb>45558</fb>
    <v>9</v>
  </rv>
  <rv s="4">
    <fb>3310.75</fb>
    <v>10</v>
  </rv>
  <rv s="4">
    <fb>26178.95</fb>
    <v>10</v>
  </rv>
  <rv s="4">
    <fb>307.73829999999998</fb>
    <v>10</v>
  </rv>
  <rv s="4">
    <fb>617.54999999999995</fb>
    <v>10</v>
  </rv>
  <rv s="4">
    <fb>3620.944</fb>
    <v>10</v>
  </rv>
  <rv s="4">
    <fb>1471.5</fb>
    <v>10</v>
  </rv>
  <rv s="4">
    <fb>342.55</fb>
    <v>10</v>
  </rv>
  <rv s="4">
    <fb>45565</fb>
    <v>9</v>
  </rv>
  <rv s="4">
    <fb>3072.5</fb>
    <v>10</v>
  </rv>
  <rv s="4">
    <fb>25014.6</fb>
    <v>10</v>
  </rv>
  <rv s="4">
    <fb>290.57819999999998</fb>
    <v>10</v>
  </rv>
  <rv s="4">
    <fb>576.95000000000005</fb>
    <v>10</v>
  </rv>
  <rv s="4">
    <fb>3657.174</fb>
    <v>10</v>
  </rv>
  <rv s="4">
    <fb>333.85</fb>
    <v>10</v>
  </rv>
  <rv s="4">
    <fb>45572</fb>
    <v>9</v>
  </rv>
  <rv s="4">
    <fb>3037.2</fb>
    <v>10</v>
  </rv>
  <rv s="4">
    <fb>24964.25</fb>
    <v>10</v>
  </rv>
  <rv s="4">
    <fb>287.24560000000002</fb>
    <v>10</v>
  </rv>
  <rv s="4">
    <fb>571.54999999999995</fb>
    <v>10</v>
  </rv>
  <rv s="4">
    <fb>3946.4398999999999</fb>
    <v>10</v>
  </rv>
  <rv s="4">
    <fb>1481.9</fb>
    <v>10</v>
  </rv>
  <rv s="4">
    <fb>332.2</fb>
    <v>10</v>
  </rv>
  <rv s="4">
    <fb>45579</fb>
    <v>9</v>
  </rv>
  <rv s="4">
    <fb>2992.15</fb>
    <v>10</v>
  </rv>
  <rv s="4">
    <fb>24854.05</fb>
    <v>10</v>
  </rv>
  <rv s="4">
    <fb>285.55450000000002</fb>
    <v>10</v>
  </rv>
  <rv s="4">
    <fb>556.35</fb>
    <v>10</v>
  </rv>
  <rv s="4">
    <fb>3743.4656</fb>
    <v>10</v>
  </rv>
  <rv s="4">
    <fb>1566.9</fb>
    <v>10</v>
  </rv>
  <rv s="4">
    <fb>326.75</fb>
    <v>10</v>
  </rv>
  <rv s="4">
    <fb>45586</fb>
    <v>9</v>
  </rv>
  <rv s="4">
    <fb>2958</fb>
    <v>10</v>
  </rv>
  <rv s="4">
    <fb>24180.799999999999</fb>
    <v>10</v>
  </rv>
  <rv s="4">
    <fb>277.69560000000001</fb>
    <v>10</v>
  </rv>
  <rv s="4">
    <fb>536.95000000000005</fb>
    <v>10</v>
  </rv>
  <rv s="4">
    <fb>3553.7964000000002</fb>
    <v>10</v>
  </rv>
  <rv s="4">
    <fb>1601.45</fb>
    <v>10</v>
  </rv>
  <rv s="4">
    <fb>301.5</fb>
    <v>10</v>
  </rv>
  <rv s="4">
    <fb>45593</fb>
    <v>9</v>
  </rv>
  <rv s="4">
    <fb>2939.85</fb>
    <v>10</v>
  </rv>
  <rv s="4">
    <fb>24304.35</fb>
    <v>10</v>
  </rv>
  <rv s="4">
    <fb>285.50470000000001</fb>
    <v>10</v>
  </rv>
  <rv s="4">
    <fb>531.75</fb>
    <v>10</v>
  </rv>
  <rv s="4">
    <fb>4325.1081999999997</fb>
    <v>10</v>
  </rv>
  <rv s="4">
    <fb>1676.35</fb>
    <v>10</v>
  </rv>
  <rv s="4">
    <fb>341.2</fb>
    <v>10</v>
  </rv>
  <rv s="4">
    <fb>45600</fb>
    <v>9</v>
  </rv>
  <rv s="4">
    <fb>2769.45</fb>
    <v>10</v>
  </rv>
  <rv s="4">
    <fb>24148.2</fb>
    <v>10</v>
  </rv>
  <rv s="4">
    <fb>269.7373</fb>
    <v>10</v>
  </rv>
  <rv s="4">
    <fb>504.25</fb>
    <v>10</v>
  </rv>
  <rv s="4">
    <fb>3916.8145</fb>
    <v>10</v>
  </rv>
  <rv s="4">
    <fb>1534.45</fb>
    <v>10</v>
  </rv>
  <rv s="4">
    <fb>362.6</fb>
    <v>10</v>
  </rv>
  <rv s="4">
    <fb>45607</fb>
    <v>9</v>
  </rv>
  <rv s="4">
    <fb>2483.15</fb>
    <v>10</v>
  </rv>
  <rv s="4">
    <fb>23532.7</fb>
    <v>10</v>
  </rv>
  <rv s="4">
    <fb>257.89929999999998</fb>
    <v>10</v>
  </rv>
  <rv s="4">
    <fb>491.9</fb>
    <v>10</v>
  </rv>
  <rv s="4">
    <fb>3490.2384000000002</fb>
    <v>10</v>
  </rv>
  <rv s="4">
    <fb>1500.15</fb>
    <v>10</v>
  </rv>
  <rv s="4">
    <fb>339.6</fb>
    <v>10</v>
  </rv>
  <rv s="4">
    <fb>45614</fb>
    <v>9</v>
  </rv>
  <rv s="4">
    <fb>2472.1999999999998</fb>
    <v>10</v>
  </rv>
  <rv s="4">
    <fb>23907.25</fb>
    <v>10</v>
  </rv>
  <rv s="4">
    <fb>265.85759999999999</fb>
    <v>10</v>
  </rv>
  <rv s="4">
    <fb>476.25</fb>
    <v>10</v>
  </rv>
  <rv s="4">
    <fb>3483.2507999999998</fb>
    <v>10</v>
  </rv>
  <rv s="4">
    <fb>1502.8</fb>
    <v>10</v>
  </rv>
  <rv s="4">
    <fb>315.35000000000002</fb>
    <v>10</v>
  </rv>
  <rv s="4">
    <fb>45621</fb>
    <v>9</v>
  </rv>
  <rv s="4">
    <fb>2479.6</fb>
    <v>10</v>
  </rv>
  <rv s="4">
    <fb>24131.1</fb>
    <v>10</v>
  </rv>
  <rv s="4">
    <fb>279.48630000000003</fb>
    <v>10</v>
  </rv>
  <rv s="4">
    <fb>493.7</fb>
    <v>10</v>
  </rv>
  <rv s="4">
    <fb>3548.5318000000002</fb>
    <v>10</v>
  </rv>
  <rv s="4">
    <fb>1433.55</fb>
    <v>10</v>
  </rv>
  <rv s="4">
    <fb>338.3</fb>
    <v>10</v>
  </rv>
  <rv s="4">
    <fb>45628</fb>
    <v>9</v>
  </rv>
  <rv s="4">
    <fb>2429.6999999999998</fb>
    <v>10</v>
  </rv>
  <rv s="4">
    <fb>24677.8</fb>
    <v>10</v>
  </rv>
  <rv s="4">
    <fb>480.45</fb>
    <v>10</v>
  </rv>
  <rv s="4">
    <fb>3517.2793000000001</fb>
    <v>10</v>
  </rv>
  <rv s="4">
    <fb>1433.9</fb>
    <v>10</v>
  </rv>
  <rv s="4">
    <fb>340.45</fb>
    <v>10</v>
  </rv>
  <rv s="4">
    <fb>45635</fb>
    <v>9</v>
  </rv>
  <rv s="4">
    <fb>2407.65</fb>
    <v>10</v>
  </rv>
  <rv s="4">
    <fb>24768.3</fb>
    <v>10</v>
  </rv>
  <rv s="4">
    <fb>261.3313</fb>
    <v>10</v>
  </rv>
  <rv s="4">
    <fb>475</fb>
    <v>10</v>
  </rv>
  <rv s="4">
    <fb>3396.2892000000002</fb>
    <v>10</v>
  </rv>
  <rv s="4">
    <fb>1430.45</fb>
    <v>10</v>
  </rv>
  <rv s="4">
    <fb>346.25</fb>
    <v>10</v>
  </rv>
  <rv s="4">
    <fb>45642</fb>
    <v>9</v>
  </rv>
  <rv s="4">
    <fb>2282.35</fb>
    <v>10</v>
  </rv>
  <rv s="4">
    <fb>23587.5</fb>
    <v>10</v>
  </rv>
  <rv s="4">
    <fb>260.83390000000003</fb>
    <v>10</v>
  </rv>
  <rv s="4">
    <fb>444.8</fb>
    <v>10</v>
  </rv>
  <rv s="4">
    <fb>3439.4110000000001</fb>
    <v>10</v>
  </rv>
  <rv s="4">
    <fb>1408.95</fb>
    <v>10</v>
  </rv>
  <rv s="4">
    <fb>325.14999999999998</fb>
    <v>10</v>
  </rv>
  <rv s="4">
    <fb>45649</fb>
    <v>9</v>
  </rv>
  <rv s="4">
    <fb>2271.4</fb>
    <v>10</v>
  </rv>
  <rv s="4">
    <fb>23813.4</fb>
    <v>10</v>
  </rv>
  <rv s="4">
    <fb>259.93860000000001</fb>
    <v>10</v>
  </rv>
  <rv s="4">
    <fb>442.3</fb>
    <v>10</v>
  </rv>
  <rv s="4">
    <fb>3263.1426999999999</fb>
    <v>10</v>
  </rv>
  <rv s="4">
    <fb>1333.9</fb>
    <v>10</v>
  </rv>
  <rv s="4">
    <fb>338.7</fb>
    <v>10</v>
  </rv>
  <rv s="4">
    <fb>45656</fb>
    <v>9</v>
  </rv>
  <rv s="4">
    <fb>2335.9499999999998</fb>
    <v>10</v>
  </rv>
  <rv s="4">
    <fb>24004.75</fb>
    <v>10</v>
  </rv>
  <rv s="4">
    <fb>260.53550000000001</fb>
    <v>10</v>
  </rv>
  <rv s="4">
    <fb>457.85</fb>
    <v>10</v>
  </rv>
  <rv s="4">
    <fb>3350.2478999999998</fb>
    <v>10</v>
  </rv>
  <rv s="4">
    <fb>1395.75</fb>
    <v>10</v>
  </rv>
  <rv s="4">
    <fb>45663</fb>
    <v>9</v>
  </rv>
  <rv s="4">
    <fb>2320.75</fb>
    <v>10</v>
  </rv>
  <rv s="4">
    <fb>23431.5</fb>
    <v>10</v>
  </rv>
  <rv s="4">
    <fb>252.4777</fb>
    <v>10</v>
  </rv>
  <rv s="4">
    <fb>460.85</fb>
    <v>10</v>
  </rv>
  <rv s="4">
    <fb>3575.4769999999999</fb>
    <v>10</v>
  </rv>
  <rv s="4">
    <fb>1287.8</fb>
    <v>10</v>
  </rv>
  <rv s="4">
    <fb>305</fb>
    <v>10</v>
  </rv>
  <rv s="4">
    <fb>45670</fb>
    <v>9</v>
  </rv>
  <rv s="4">
    <fb>2261</fb>
    <v>10</v>
  </rv>
  <rv s="4">
    <fb>23203.200000000001</fb>
    <v>10</v>
  </rv>
  <rv s="4">
    <fb>242.92769999999999</fb>
    <v>10</v>
  </rv>
  <rv s="4">
    <fb>468.8</fb>
    <v>10</v>
  </rv>
  <rv s="4">
    <fb>3676.2701999999999</fb>
    <v>10</v>
  </rv>
  <rv s="4">
    <fb>1228.3</fb>
    <v>10</v>
  </rv>
  <rv s="4">
    <fb>321.5</fb>
    <v>10</v>
  </rv>
  <rv s="4">
    <fb>45677</fb>
    <v>9</v>
  </rv>
  <rv s="4">
    <fb>2262.4</fb>
    <v>10</v>
  </rv>
  <rv s="4">
    <fb>23092.2</fb>
    <v>10</v>
  </rv>
  <rv s="4">
    <fb>240.83869999999999</fb>
    <v>10</v>
  </rv>
  <rv s="4">
    <fb>480.1</fb>
    <v>10</v>
  </rv>
  <rv s="4">
    <fb>3687.5650999999998</fb>
    <v>10</v>
  </rv>
  <rv s="4">
    <fb>1227.1500000000001</fb>
    <v>10</v>
  </rv>
  <rv s="4">
    <fb>309.5</fb>
    <v>10</v>
  </rv>
  <rv s="4">
    <fb>45684</fb>
    <v>9</v>
  </rv>
  <rv s="4">
    <fb>2351.15</fb>
    <v>10</v>
  </rv>
  <rv s="4">
    <fb>23482.15</fb>
    <v>10</v>
  </rv>
  <rv s="4">
    <fb>238.77940000000001</fb>
    <v>10</v>
  </rv>
  <rv s="4">
    <fb>492.15</fb>
    <v>10</v>
  </rv>
  <rv s="4">
    <fb>3634.3926999999999</fb>
    <v>10</v>
  </rv>
  <rv s="4">
    <fb>1278.05</fb>
    <v>10</v>
  </rv>
  <rv s="4">
    <fb>316.14999999999998</fb>
    <v>10</v>
  </rv>
  <rv s="4">
    <fb>45691</fb>
    <v>9</v>
  </rv>
  <rv s="4">
    <fb>2271</fb>
    <v>10</v>
  </rv>
  <rv s="4">
    <fb>23559.95</fb>
    <v>10</v>
  </rv>
  <rv s="4">
    <fb>247.68279999999999</fb>
    <v>10</v>
  </rv>
  <rv s="4">
    <fb>479.35</fb>
    <v>10</v>
  </rv>
  <rv s="4">
    <fb>3465.2076000000002</fb>
    <v>10</v>
  </rv>
  <rv s="4">
    <fb>1255.2</fb>
    <v>10</v>
  </rv>
  <rv s="4">
    <fb>303.95</fb>
    <v>10</v>
  </rv>
  <rv s="4">
    <fb>45698</fb>
    <v>9</v>
  </rv>
  <rv s="4">
    <fb>2231.3000000000002</fb>
    <v>10</v>
  </rv>
  <rv s="4">
    <fb>22929.25</fb>
    <v>10</v>
  </rv>
  <rv s="4">
    <fb>230.1944</fb>
    <v>10</v>
  </rv>
  <rv s="4">
    <fb>478.3</fb>
    <v>10</v>
  </rv>
  <rv s="4">
    <fb>3110.3256999999999</fb>
    <v>10</v>
  </rv>
  <rv s="4">
    <fb>1085.75</fb>
    <v>10</v>
  </rv>
  <rv s="4">
    <fb>285.75</fb>
    <v>10</v>
  </rv>
  <rv s="4">
    <fb>45705</fb>
    <v>9</v>
  </rv>
  <rv s="4">
    <fb>2257.6</fb>
    <v>10</v>
  </rv>
  <rv s="4">
    <fb>22795.9</fb>
    <v>10</v>
  </rv>
  <rv s="4">
    <fb>240.37110000000001</fb>
    <v>10</v>
  </rv>
  <rv s="4">
    <fb>491.25</fb>
    <v>10</v>
  </rv>
  <rv s="4">
    <fb>3117.6482999999998</fb>
    <v>10</v>
  </rv>
  <rv s="4">
    <fb>1078.1500000000001</fb>
    <v>10</v>
  </rv>
  <rv s="4">
    <fb>279.3</fb>
    <v>10</v>
  </rv>
  <rv s="4">
    <fb>45712</fb>
    <v>9</v>
  </rv>
  <rv s="4">
    <fb>2179.75</fb>
    <v>10</v>
  </rv>
  <rv s="4">
    <fb>22124.7</fb>
    <v>10</v>
  </rv>
  <rv s="4">
    <fb>225.47909999999999</fb>
    <v>10</v>
  </rv>
  <rv s="4">
    <fb>488.55</fb>
    <v>10</v>
  </rv>
  <rv s="4">
    <fb>2977.1313</fb>
    <v>10</v>
  </rv>
  <rv s="4">
    <fb>1019.85</fb>
    <v>10</v>
  </rv>
  <rv s="4">
    <fb>45719</fb>
    <v>9</v>
  </rv>
  <rv s="4">
    <fb>2270</fb>
    <v>10</v>
  </rv>
  <rv s="4">
    <fb>22552.5</fb>
    <v>10</v>
  </rv>
  <rv s="4">
    <fb>234.42230000000001</fb>
    <v>10</v>
  </rv>
  <rv s="4">
    <fb>509.35</fb>
    <v>10</v>
  </rv>
  <rv s="4">
    <fb>3148.7094000000002</fb>
    <v>10</v>
  </rv>
  <rv s="4">
    <fb>1063.5</fb>
    <v>10</v>
  </rv>
  <rv s="4">
    <fb>263.89999999999998</fb>
    <v>10</v>
  </rv>
  <rv s="4">
    <fb>45726</fb>
    <v>9</v>
  </rv>
  <rv s="4">
    <fb>22397.200000000001</fb>
    <v>10</v>
  </rv>
  <rv s="4">
    <fb>223.4796</fb>
    <v>10</v>
  </rv>
  <rv s="4">
    <fb>488.2</fb>
    <v>10</v>
  </rv>
  <rv s="4">
    <fb>2990.7714000000001</fb>
    <v>10</v>
  </rv>
  <rv s="4">
    <fb>990.25</fb>
    <v>10</v>
  </rv>
  <rv s="4">
    <fb>254</fb>
    <v>10</v>
  </rv>
  <rv s="4">
    <fb>45733</fb>
    <v>9</v>
  </rv>
  <rv s="4">
    <fb>2300.4</fb>
    <v>10</v>
  </rv>
  <rv s="4">
    <fb>23350.400000000001</fb>
    <v>10</v>
  </rv>
  <rv s="4">
    <fb>243.65389999999999</fb>
    <v>10</v>
  </rv>
  <rv s="4">
    <fb>500.3</fb>
    <v>10</v>
  </rv>
  <rv s="4">
    <fb>3230.8850000000002</fb>
    <v>10</v>
  </rv>
  <rv s="4">
    <fb>994.45</fb>
    <v>10</v>
  </rv>
  <rv s="4">
    <fb>45740</fb>
    <v>9</v>
  </rv>
  <rv s="4">
    <fb>2340.65</fb>
    <v>10</v>
  </rv>
  <rv s="4">
    <fb>23519.35</fb>
    <v>10</v>
  </rv>
  <rv s="4">
    <fb>231.6866</fb>
    <v>10</v>
  </rv>
  <rv s="4">
    <fb>500.2</fb>
    <v>10</v>
  </rv>
  <rv s="4">
    <fb>3444.0056</fb>
    <v>10</v>
  </rv>
  <rv s="4">
    <fb>942.7</fb>
    <v>10</v>
  </rv>
  <rv s="4">
    <fb>241.7</fb>
    <v>10</v>
  </rv>
  <rv s="4">
    <fb>45748</fb>
    <v>9</v>
  </rv>
  <rv s="4">
    <fb>2356.0500000000002</fb>
    <v>10</v>
  </rv>
  <rv s="4">
    <fb>22904.45</fb>
    <v>10</v>
  </rv>
  <rv s="4">
    <fb>238.292</fb>
    <v>10</v>
  </rv>
  <rv s="4">
    <fb>512.04999999999995</fb>
    <v>10</v>
  </rv>
  <rv s="4">
    <fb>3353.7415999999998</fb>
    <v>10</v>
  </rv>
  <rv s="4">
    <fb>963.2</fb>
    <v>10</v>
  </rv>
  <rv s="4">
    <fb>258.52</fb>
    <v>10</v>
  </rv>
  <rv s="4">
    <fb>45754</fb>
    <v>9</v>
  </rv>
  <rv s="4">
    <fb>2393.6</fb>
    <v>10</v>
  </rv>
  <rv s="4">
    <fb>22828.55</fb>
    <v>10</v>
  </rv>
  <rv s="4">
    <fb>248.27969999999999</fb>
    <v>10</v>
  </rv>
  <rv s="4">
    <fb>530.5</fb>
    <v>10</v>
  </rv>
  <rv s="4">
    <fb>3360.2026999999998</fb>
    <v>10</v>
  </rv>
  <rv s="4">
    <fb>985.7</fb>
    <v>10</v>
  </rv>
  <rv s="4">
    <fb>260.02999999999997</fb>
    <v>10</v>
  </rv>
  <rv s="4">
    <fb>45762</fb>
    <v>9</v>
  </rv>
  <rv s="4">
    <fb>2467.9</fb>
    <v>10</v>
  </rv>
  <rv s="4">
    <fb>23851.65</fb>
    <v>10</v>
  </rv>
  <rv s="4">
    <fb>256.77519999999998</fb>
    <v>10</v>
  </rv>
  <rv s="4">
    <fb>543.6</fb>
    <v>10</v>
  </rv>
  <rv s="4">
    <fb>3344.9353999999998</fb>
    <v>10</v>
  </rv>
  <rv s="4">
    <fb>1017.45</fb>
    <v>10</v>
  </rv>
  <rv s="4">
    <fb>291.14999999999998</fb>
    <v>10</v>
  </rv>
  <rv s="4">
    <fb>45768</fb>
    <v>9</v>
  </rv>
  <rv s="4">
    <fb>2431.6</fb>
    <v>10</v>
  </rv>
  <rv s="4">
    <fb>24039.35</fb>
    <v>10</v>
  </rv>
  <rv s="4">
    <fb>260.84390000000002</fb>
    <v>10</v>
  </rv>
  <rv s="4">
    <fb>552.5</fb>
    <v>10</v>
  </rv>
  <rv s="4">
    <fb>3415.4810000000002</fb>
    <v>10</v>
  </rv>
  <rv s="4">
    <fb>1005.55</fb>
    <v>10</v>
  </rv>
  <rv s="4">
    <fb>283.2</fb>
    <v>10</v>
  </rv>
  <rv s="4">
    <fb>45775</fb>
    <v>9</v>
  </rv>
  <rv s="4">
    <fb>2409.8000000000002</fb>
    <v>10</v>
  </rv>
  <rv s="4">
    <fb>24346.7</fb>
    <v>10</v>
  </rv>
  <rv s="4">
    <fb>253.4228</fb>
    <v>10</v>
  </rv>
  <rv s="4">
    <fb>3302.34</fb>
    <v>10</v>
  </rv>
  <rv s="4">
    <fb>988.4</fb>
    <v>10</v>
  </rv>
  <rv s="4">
    <fb>284.60000000000002</fb>
    <v>10</v>
  </rv>
  <rv s="4">
    <fb>45782</fb>
    <v>9</v>
  </rv>
  <rv s="4">
    <fb>2299.6</fb>
    <v>10</v>
  </rv>
  <rv s="4">
    <fb>24008</fb>
    <v>10</v>
  </rv>
  <rv s="4">
    <fb>256.40710000000001</fb>
    <v>10</v>
  </rv>
  <rv s="4">
    <fb>536.6</fb>
    <v>10</v>
  </rv>
  <rv s="4">
    <fb>3282.8130999999998</fb>
    <v>10</v>
  </rv>
  <rv s="4">
    <fb>950.35</fb>
    <v>10</v>
  </rv>
  <rv s="4">
    <fb>260.3</fb>
    <v>10</v>
  </rv>
  <rv s="4">
    <fb>45789</fb>
    <v>9</v>
  </rv>
  <rv s="4">
    <fb>2353.6</fb>
    <v>10</v>
  </rv>
  <rv s="4">
    <fb>25019.8</fb>
    <v>10</v>
  </rv>
  <rv s="4">
    <fb>262.22660000000002</fb>
    <v>10</v>
  </rv>
  <rv s="4">
    <fb>576.1</fb>
    <v>10</v>
  </rv>
  <rv s="4">
    <fb>3444.3885</fb>
    <v>10</v>
  </rv>
  <rv s="4">
    <fb>1028.2</fb>
    <v>10</v>
  </rv>
  <rv s="4">
    <fb>273.35000000000002</fb>
    <v>10</v>
  </rv>
  <rv s="4">
    <fb>45796</fb>
    <v>9</v>
  </rv>
  <rv s="4">
    <fb>2315.5</fb>
    <v>10</v>
  </rv>
  <rv s="4">
    <fb>24853.15</fb>
    <v>10</v>
  </rv>
  <rv s="4">
    <fb>258.84440000000001</fb>
    <v>10</v>
  </rv>
  <rv s="4">
    <fb>554.9</fb>
    <v>10</v>
  </rv>
  <rv s="4">
    <fb>3442.0911999999998</fb>
    <v>10</v>
  </rv>
  <rv s="4">
    <fb>1031.8</fb>
    <v>10</v>
  </rv>
  <rv s="4">
    <fb>315</fb>
    <v>10</v>
  </rv>
  <rv s="4">
    <fb>45803</fb>
    <v>9</v>
  </rv>
  <rv s="4">
    <fb>2259.1</fb>
    <v>10</v>
  </rv>
  <rv s="4">
    <fb>24750.7</fb>
    <v>10</v>
  </rv>
  <rv s="4">
    <fb>252.37819999999999</fb>
    <v>10</v>
  </rv>
  <rv s="4">
    <fb>568.29999999999995</fb>
    <v>10</v>
  </rv>
  <rv s="4">
    <fb>3202.5998</fb>
    <v>10</v>
  </rv>
  <rv s="4">
    <fb>1079.45</fb>
    <v>10</v>
  </rv>
  <rv s="4">
    <fb>349.05</fb>
    <v>10</v>
  </rv>
  <rv s="4">
    <fb>45810</fb>
    <v>9</v>
  </rv>
  <rv s="4">
    <fb>2245.1999999999998</fb>
    <v>10</v>
  </rv>
  <rv s="4">
    <fb>25003.05</fb>
    <v>10</v>
  </rv>
  <rv s="4">
    <fb>247.8519</fb>
    <v>10</v>
  </rv>
  <rv s="4">
    <fb>581.5</fb>
    <v>10</v>
  </rv>
  <rv s="4">
    <fb>3101.0408000000002</fb>
    <v>10</v>
  </rv>
  <rv s="4">
    <fb>1074.9000000000001</fb>
    <v>10</v>
  </rv>
  <rv s="4">
    <fb>367.3</fb>
    <v>10</v>
  </rv>
  <rv s="4">
    <fb>45817</fb>
    <v>9</v>
  </rv>
  <rv s="4">
    <fb>2214.1999999999998</fb>
    <v>10</v>
  </rv>
  <rv s="4">
    <fb>24718.6</fb>
    <v>10</v>
  </rv>
  <rv s="4">
    <fb>241.18680000000001</fb>
    <v>10</v>
  </rv>
  <rv s="4">
    <fb>570.15</fb>
    <v>10</v>
  </rv>
  <rv s="4">
    <fb>3099.7008000000001</fb>
    <v>10</v>
  </rv>
  <rv s="4">
    <fb>1094.5999999999999</fb>
    <v>10</v>
  </rv>
  <rv s="4">
    <fb>383</fb>
    <v>10</v>
  </rv>
  <rv s="4">
    <fb>45824</fb>
    <v>9</v>
  </rv>
  <rv s="4">
    <fb>2285.6999999999998</fb>
    <v>10</v>
  </rv>
  <rv s="4">
    <fb>25112.400000000001</fb>
    <v>10</v>
  </rv>
  <rv s="4">
    <fb>238.5506</fb>
    <v>10</v>
  </rv>
  <rv s="4">
    <fb>535.75</fb>
    <v>10</v>
  </rv>
  <rv s="4">
    <fb>2966.8413999999998</fb>
    <v>10</v>
  </rv>
  <rv s="4">
    <fb>1121</fb>
    <v>10</v>
  </rv>
  <rv s="4">
    <fb>378.2</fb>
    <v>10</v>
  </rv>
  <rv s="4">
    <fb>45831</fb>
    <v>9</v>
  </rv>
  <rv s="4">
    <fb>2358.6999999999998</fb>
    <v>10</v>
  </rv>
  <rv s="4">
    <fb>25637.8</fb>
    <v>10</v>
  </rv>
  <rv s="4">
    <fb>248.1</fb>
    <v>10</v>
  </rv>
  <rv s="4">
    <fb>583.95000000000005</fb>
    <v>10</v>
  </rv>
  <rv s="4">
    <fb>3272.2838999999999</fb>
    <v>10</v>
  </rv>
  <rv s="4">
    <fb>1161.0999999999999</fb>
    <v>10</v>
  </rv>
  <rv s="4">
    <fb>382.2</fb>
    <v>10</v>
  </rv>
  <rv s="4">
    <fb>45838</fb>
    <v>9</v>
  </rv>
  <rv s="4">
    <fb>2424.1999999999998</fb>
    <v>10</v>
  </rv>
  <rv s="4">
    <fb>25461</fb>
    <v>10</v>
  </rv>
  <rv s="4">
    <fb>250.05</fb>
    <v>10</v>
  </rv>
  <rv s="4">
    <fb>596</fb>
    <v>10</v>
  </rv>
  <rv s="4">
    <fb>3294.2037999999998</fb>
    <v>10</v>
  </rv>
  <rv s="4">
    <fb>1199.5</fb>
    <v>10</v>
  </rv>
  <rv s="4">
    <fb>382</fb>
    <v>10</v>
  </rv>
  <rv s="4">
    <fb>45845</fb>
    <v>9</v>
  </rv>
  <rv s="4">
    <fb>2439.1999999999998</fb>
    <v>10</v>
  </rv>
  <rv s="4">
    <fb>25149.85</fb>
    <v>10</v>
  </rv>
  <rv s="4">
    <fb>246.25</fb>
    <v>10</v>
  </rv>
  <rv s="4">
    <fb>572.54999999999995</fb>
    <v>10</v>
  </rv>
  <rv s="4">
    <fb>3486.6967</fb>
    <v>10</v>
  </rv>
  <rv s="4">
    <fb>1200.2</fb>
    <v>10</v>
  </rv>
  <rv s="4">
    <fb>424.6</fb>
    <v>10</v>
  </rv>
  <rv s="4">
    <fb>45852</fb>
    <v>9</v>
  </rv>
  <rv s="4">
    <fb>2382.4</fb>
    <v>10</v>
  </rv>
  <rv s="4">
    <fb>24968.400000000001</fb>
    <v>10</v>
  </rv>
  <rv s="4">
    <fb>576.79999999999995</fb>
    <v>10</v>
  </rv>
  <rv s="4">
    <fb>3477.1246999999998</fb>
    <v>10</v>
  </rv>
  <rv s="4">
    <fb>1201.0999999999999</fb>
    <v>10</v>
  </rv>
  <rv s="4">
    <fb>422.05</fb>
    <v>10</v>
  </rv>
  <rv s="4">
    <fb>45859</fb>
    <v>9</v>
  </rv>
  <rv s="4">
    <fb>2336.1999999999998</fb>
    <v>10</v>
  </rv>
  <rv s="4">
    <fb>24837</fb>
    <v>10</v>
  </rv>
  <rv s="4">
    <fb>244.95</fb>
    <v>10</v>
  </rv>
  <rv s="4">
    <fb>558</fb>
    <v>10</v>
  </rv>
  <rv s="4">
    <fb>3605.5810000000001</fb>
    <v>10</v>
  </rv>
  <rv s="4">
    <fb>1140.4000000000001</fb>
    <v>10</v>
  </rv>
  <rv s="4">
    <fb>417.35</fb>
    <v>10</v>
  </rv>
  <rv s="4">
    <fb>45866</fb>
    <v>9</v>
  </rv>
  <rv s="4">
    <fb>2431</fb>
    <v>10</v>
  </rv>
  <rv s="4">
    <fb>24565.35</fb>
    <v>10</v>
  </rv>
  <rv s="4">
    <fb>566.9</fb>
    <v>10</v>
  </rv>
  <rv s="4">
    <fb>3480.2835</fb>
    <v>10</v>
  </rv>
  <rv s="4">
    <fb>1204.5999999999999</fb>
    <v>10</v>
  </rv>
  <rv s="4">
    <fb>434.55</fb>
    <v>10</v>
  </rv>
  <rv s="4">
    <fb>45873</fb>
    <v>9</v>
  </rv>
  <rv s="4">
    <fb>2475.6</fb>
    <v>10</v>
  </rv>
  <rv s="4">
    <fb>24363.3</fb>
    <v>10</v>
  </rv>
  <rv s="4">
    <fb>232.89</fb>
    <v>10</v>
  </rv>
  <rv s="4">
    <fb>551.04999999999995</fb>
    <v>10</v>
  </rv>
  <rv s="4">
    <fb>3488.6111000000001</fb>
    <v>10</v>
  </rv>
  <rv s="4">
    <fb>1152.4000000000001</fb>
    <v>10</v>
  </rv>
  <rv s="4">
    <fb>453.1</fb>
    <v>10</v>
  </rv>
  <rv s="4">
    <fb>45880</fb>
    <v>9</v>
  </rv>
  <rv s="4">
    <fb>2528.6999999999998</fb>
    <v>10</v>
  </rv>
  <rv s="4">
    <fb>24631.3</fb>
    <v>10</v>
  </rv>
  <rv s="4">
    <fb>235.45</fb>
    <v>10</v>
  </rv>
  <rv s="4">
    <fb>533.45000000000005</fb>
    <v>10</v>
  </rv>
  <rv s="4">
    <fb>3421</fb>
    <v>10</v>
  </rv>
  <rv s="4">
    <fb>1107.2</fb>
    <v>10</v>
  </rv>
  <rv s="4">
    <fb>464.5</fb>
    <v>10</v>
  </rv>
  <rv s="4">
    <fb>45887</fb>
    <v>9</v>
  </rv>
  <rv s="4">
    <fb>2504.5</fb>
    <v>10</v>
  </rv>
  <rv s="4">
    <fb>24870.1</fb>
    <v>10</v>
  </rv>
  <rv s="4">
    <fb>232.62</fb>
    <v>10</v>
  </rv>
  <rv s="4">
    <fb>527</fb>
    <v>10</v>
  </rv>
  <rv s="4">
    <fb>3399.6</fb>
    <v>10</v>
  </rv>
  <rv s="4">
    <fb>1133.5</fb>
    <v>10</v>
  </rv>
  <rv s="4">
    <fb>458.85</fb>
    <v>10</v>
  </rv>
  <rv s="4">
    <fb>45894</fb>
    <v>9</v>
  </rv>
  <rv s="4">
    <fb>2518.6</fb>
    <v>10</v>
  </rv>
  <rv s="4">
    <fb>24426.85</fb>
    <v>10</v>
  </rv>
  <rv s="4">
    <fb>239.99</fb>
    <v>10</v>
  </rv>
  <rv s="4">
    <fb>533</fb>
    <v>10</v>
  </rv>
  <rv s="4">
    <fb>3410.6</fb>
    <v>10</v>
  </rv>
  <rv s="4">
    <fb>1099.7</fb>
    <v>10</v>
  </rv>
  <rv s="4">
    <fb>462.75</fb>
    <v>10</v>
  </rv>
  <rv s="4">
    <fb>45901</fb>
    <v>9</v>
  </rv>
  <rv s="4">
    <fb>2579.9</fb>
    <v>10</v>
  </rv>
  <rv s="4">
    <fb>24741</fb>
    <v>10</v>
  </rv>
  <rv s="4">
    <fb>242.88</fb>
    <v>10</v>
  </rv>
  <rv s="4">
    <fb>538.70000000000005</fb>
    <v>10</v>
  </rv>
  <rv s="4">
    <fb>3382.8</fb>
    <v>10</v>
  </rv>
  <rv s="4">
    <fb>1145.4000000000001</fb>
    <v>10</v>
  </rv>
  <rv s="4">
    <fb>467.75</fb>
    <v>10</v>
  </rv>
  <rv s="4">
    <fb>45908</fb>
    <v>9</v>
  </rv>
  <rv s="4">
    <fb>2546.3000000000002</fb>
    <v>10</v>
  </rv>
  <rv s="4">
    <fb>25114</fb>
    <v>10</v>
  </rv>
  <rv s="4">
    <fb>247.54</fb>
    <v>10</v>
  </rv>
  <rv s="4">
    <fb>539.35</fb>
    <v>10</v>
  </rv>
  <rv s="4">
    <fb>3366.2</fb>
    <v>10</v>
  </rv>
  <rv s="4">
    <fb>1146.5</fb>
    <v>10</v>
  </rv>
  <rv s="4">
    <fb>465.9</fb>
    <v>10</v>
  </rv>
  <rv s="4">
    <fb>45915</fb>
    <v>9</v>
  </rv>
  <rv s="4">
    <fb>2481.6999999999998</fb>
    <v>10</v>
  </rv>
  <rv s="4">
    <fb>25327.05</fb>
    <v>10</v>
  </rv>
  <rv s="4">
    <fb>251.85</fb>
    <v>10</v>
  </rv>
  <rv s="4">
    <fb>531.6</fb>
    <v>10</v>
  </rv>
  <rv s="4">
    <fb>3374.8</fb>
    <v>10</v>
  </rv>
  <rv s="4">
    <fb>1123</fb>
    <v>10</v>
  </rv>
  <rv s="4">
    <fb>489.7</fb>
    <v>10</v>
  </rv>
  <rv s="4">
    <fb>45922</fb>
    <v>9</v>
  </rv>
  <rv s="4">
    <fb>2342.8000000000002</fb>
    <v>10</v>
  </rv>
  <rv s="4">
    <fb>24654.7</fb>
    <v>10</v>
  </rv>
  <rv s="4">
    <fb>246.58</fb>
    <v>10</v>
  </rv>
  <rv s="4">
    <fb>521.45000000000005</fb>
    <v>10</v>
  </rv>
  <rv s="4">
    <fb>3354.6</fb>
    <v>10</v>
  </rv>
  <rv s="4">
    <fb>1090.5999999999999</fb>
    <v>10</v>
  </rv>
  <rv s="4">
    <fb>483.75</fb>
    <v>10</v>
  </rv>
  <rv s="4">
    <fb>45929</fb>
    <v>9</v>
  </rv>
  <rv s="4">
    <fb>2357.8000000000002</fb>
    <v>10</v>
  </rv>
  <rv s="4">
    <fb>24894.25</fb>
    <v>10</v>
  </rv>
  <rv s="4">
    <fb>252.36</fb>
    <v>10</v>
  </rv>
  <rv s="4">
    <fb>542.6</fb>
    <v>10</v>
  </rv>
  <rv s="4">
    <fb>3343.8</fb>
    <v>10</v>
  </rv>
  <rv s="4">
    <fb>1084.0999999999999</fb>
    <v>10</v>
  </rv>
  <rv s="4">
    <fb>490.8</fb>
    <v>10</v>
  </rv>
  <rv s="4">
    <fb>45936</fb>
    <v>9</v>
  </rv>
  <rv s="4">
    <fb>2340.1999999999998</fb>
    <v>10</v>
  </rv>
  <rv s="4">
    <fb>25285.35</fb>
    <v>10</v>
  </rv>
  <rv s="4">
    <fb>247.5</fb>
    <v>10</v>
  </rv>
  <rv s="4">
    <fb>535.15</fb>
    <v>10</v>
  </rv>
  <rv s="4">
    <fb>3344.9</fb>
    <v>10</v>
  </rv>
  <rv s="4">
    <fb>1051.4000000000001</fb>
    <v>10</v>
  </rv>
  <rv s="4">
    <fb>488.5</fb>
    <v>10</v>
  </rv>
  <rv s="4">
    <fb>45943</fb>
    <v>9</v>
  </rv>
  <rv s="4">
    <fb>2507.8000000000002</fb>
    <v>10</v>
  </rv>
  <rv s="4">
    <fb>25709.85</fb>
    <v>10</v>
  </rv>
  <rv s="4">
    <fb>253.26</fb>
    <v>10</v>
  </rv>
  <rv s="4">
    <fb>544.9</fb>
    <v>10</v>
  </rv>
  <rv s="4">
    <fb>3395.4</fb>
    <v>10</v>
  </rv>
  <rv s="4">
    <fb>1028.5999999999999</fb>
    <v>10</v>
  </rv>
  <rv s="4">
    <fb>493.65</fb>
    <v>10</v>
  </rv>
  <rv s="4">
    <fb>45950</fb>
    <v>9</v>
  </rv>
  <rv s="4">
    <fb>2501.6</fb>
    <v>10</v>
  </rv>
  <rv s="4">
    <fb>25795.15</fb>
    <v>10</v>
  </rv>
  <rv s="4">
    <fb>253.97</fb>
    <v>10</v>
  </rv>
  <rv s="4">
    <fb>545.65</fb>
    <v>10</v>
  </rv>
  <rv s="4">
    <fb>3283.5</fb>
    <v>10</v>
  </rv>
  <rv s="4">
    <fb>1032.5999999999999</fb>
    <v>10</v>
  </rv>
  <rv s="4">
    <fb>501.9</fb>
    <v>10</v>
  </rv>
  <rv s="4">
    <fb>45957</fb>
    <v>9</v>
  </rv>
  <rv s="4">
    <fb>2510.8000000000002</fb>
    <v>10</v>
  </rv>
  <rv s="4">
    <fb>25722.1</fb>
    <v>10</v>
  </rv>
  <rv s="4">
    <fb>247.96</fb>
    <v>10</v>
  </rv>
  <rv s="4">
    <fb>542.1</fb>
    <v>10</v>
  </rv>
  <rv s="4">
    <fb>3241.7</fb>
    <v>10</v>
  </rv>
  <rv s="4">
    <fb>999.9</fb>
    <v>10</v>
  </rv>
  <rv s="4">
    <fb>519.1</fb>
    <v>10</v>
  </rv>
  <rv s="4">
    <fb>45964</fb>
    <v>9</v>
  </rv>
  <rv s="4">
    <fb>2613.8000000000002</fb>
    <v>10</v>
  </rv>
  <rv s="4">
    <fb>25492.3</fb>
    <v>10</v>
  </rv>
  <rv s="4">
    <fb>246.32</fb>
    <v>10</v>
  </rv>
  <rv s="4">
    <fb>531.04999999999995</fb>
    <v>10</v>
  </rv>
  <rv s="4">
    <fb>3262.3</fb>
    <v>10</v>
  </rv>
  <rv s="4">
    <fb>1004.1</fb>
    <v>10</v>
  </rv>
  <rv s="4">
    <fb>510.2</fb>
    <v>10</v>
  </rv>
  <rv s="4">
    <fb>45971</fb>
    <v>9</v>
  </rv>
  <rv s="4">
    <fb>2906.4</fb>
    <v>10</v>
  </rv>
  <rv s="4">
    <fb>25910.05</fb>
    <v>10</v>
  </rv>
  <rv s="4">
    <fb>248.8</fb>
    <v>10</v>
  </rv>
  <rv s="4">
    <fb>579.54999999999995</fb>
    <v>10</v>
  </rv>
  <rv s="4">
    <fb>3359.3</fb>
    <v>10</v>
  </rv>
  <rv s="4">
    <fb>1298.8</fb>
    <v>10</v>
  </rv>
  <rv s="4">
    <fb>520.1</fb>
    <v>10</v>
  </rv>
  <rv s="4">
    <fb>45978</fb>
    <v>9</v>
  </rv>
  <rv s="4">
    <fb>2876.6</fb>
    <v>10</v>
  </rv>
  <rv s="4">
    <fb>26068.15</fb>
    <v>10</v>
  </rv>
  <rv s="4">
    <fb>232.8</fb>
    <v>10</v>
  </rv>
  <rv s="4">
    <fb>3385</fb>
    <v>10</v>
  </rv>
  <rv s="4">
    <fb>1281.2</fb>
    <v>10</v>
  </rv>
  <rv s="4">
    <fb>521.6</fb>
    <v>10</v>
  </rv>
  <rv s="4">
    <fb>45985</fb>
    <v>9</v>
  </rv>
  <rv s="4">
    <fb>2874.4</fb>
    <v>10</v>
  </rv>
  <rv s="4">
    <fb>26202.95</fb>
    <v>10</v>
  </rv>
  <rv s="4">
    <fb>236.49</fb>
    <v>10</v>
  </rv>
  <rv s="4">
    <fb>564.6</fb>
    <v>10</v>
  </rv>
  <rv s="4">
    <fb>3310.8</fb>
    <v>10</v>
  </rv>
  <rv s="4">
    <fb>1283.6500000000001</fb>
    <v>10</v>
  </rv>
  <rv s="4">
    <fb>519.6</fb>
    <v>10</v>
  </rv>
  <rv s="4">
    <fb>45992</fb>
    <v>9</v>
  </rv>
  <rv s="4">
    <fb>2968.5</fb>
    <v>10</v>
  </rv>
  <rv s="4">
    <fb>26186.45</fb>
    <v>10</v>
  </rv>
  <rv s="4">
    <fb>228.11</fb>
    <v>10</v>
  </rv>
  <rv s="4">
    <fb>554.5</fb>
    <v>10</v>
  </rv>
  <rv s="4">
    <fb>3513.4</fb>
    <v>10</v>
  </rv>
  <rv s="4">
    <fb>1235.5</fb>
    <v>10</v>
  </rv>
  <rv s="4">
    <fb>501.45</fb>
    <v>10</v>
  </rv>
  <rv s="4">
    <fb>45999</fb>
    <v>9</v>
  </rv>
  <rv s="4">
    <fb>2764.8</fb>
    <v>10</v>
  </rv>
  <rv s="4">
    <fb>26046.95</fb>
    <v>10</v>
  </rv>
  <rv s="4">
    <fb>223.5</fb>
    <v>10</v>
  </rv>
  <rv s="4">
    <fb>541.25</fb>
    <v>10</v>
  </rv>
  <rv s="4">
    <fb>3601.2</fb>
    <v>10</v>
  </rv>
  <rv s="4">
    <fb>1233.9000000000001</fb>
    <v>10</v>
  </rv>
  <rv s="4">
    <fb>474.15</fb>
    <v>10</v>
  </rv>
  <rv s="4">
    <fb>46006</fb>
    <v>9</v>
  </rv>
  <rv s="4">
    <fb>2799.9</fb>
    <v>10</v>
  </rv>
  <rv s="4">
    <fb>25966.400000000001</fb>
    <v>10</v>
  </rv>
  <rv s="4">
    <fb>222.98</fb>
    <v>10</v>
  </rv>
  <rv s="4">
    <fb>538</fb>
    <v>10</v>
  </rv>
  <rv s="4">
    <fb>3149.4</fb>
    <v>10</v>
  </rv>
  <rv s="4">
    <fb>1188.5999999999999</fb>
    <v>10</v>
  </rv>
  <rv s="4">
    <fb>481.1</fb>
    <v>10</v>
  </rv>
  <rv s="4">
    <fb>46013</fb>
    <v>9</v>
  </rv>
  <rv s="4">
    <fb>2746.5</fb>
    <v>10</v>
  </rv>
  <rv s="4">
    <fb>26042.3</fb>
    <v>10</v>
  </rv>
  <rv s="4">
    <fb>237.42</fb>
    <v>10</v>
  </rv>
  <rv s="4">
    <fb>542.04999999999995</fb>
    <v>10</v>
  </rv>
  <rv s="4">
    <fb>3123.8</fb>
    <v>10</v>
  </rv>
  <rv s="4">
    <fb>1127.5</fb>
    <v>10</v>
  </rv>
  <rv s="4">
    <fb>486.25</fb>
    <v>10</v>
  </rv>
  <rv s="4">
    <fb>46020</fb>
    <v>9</v>
  </rv>
  <rv s="4">
    <fb>2772.6</fb>
    <v>10</v>
  </rv>
  <rv s="4">
    <fb>26328.55</fb>
    <v>10</v>
  </rv>
  <rv s="4">
    <fb>241.08</fb>
    <v>10</v>
  </rv>
  <rv s="4">
    <fb>524.1</fb>
    <v>10</v>
  </rv>
  <rv s="4">
    <fb>3211.6</fb>
    <v>10</v>
  </rv>
  <rv s="4">
    <fb>1171.2</fb>
    <v>10</v>
  </rv>
  <rv s="4">
    <fb>503.65</fb>
    <v>10</v>
  </rv>
  <rv s="4">
    <fb>46027</fb>
    <v>9</v>
  </rv>
  <rv s="4">
    <fb>2825.5</fb>
    <v>10</v>
  </rv>
  <rv s="4">
    <fb>25683.3</fb>
    <v>10</v>
  </rv>
  <rv s="4">
    <fb>232.46</fb>
    <v>10</v>
  </rv>
  <rv s="4">
    <fb>514.20000000000005</fb>
    <v>10</v>
  </rv>
  <rv s="4">
    <fb>3133.9</fb>
    <v>10</v>
  </rv>
  <rv s="4">
    <fb>1200.3</fb>
    <v>10</v>
  </rv>
  <rv s="4">
    <fb>470.45</fb>
    <v>10</v>
  </rv>
  <rv s="4">
    <fb>46034</fb>
    <v>9</v>
  </rv>
  <rv s="4">
    <fb>2756.9</fb>
    <v>10</v>
  </rv>
  <rv s="4">
    <fb>25694.35</fb>
    <v>10</v>
  </rv>
  <rv s="4">
    <fb>231.43</fb>
    <v>10</v>
  </rv>
  <rv s="4">
    <fb>519.75</fb>
    <v>10</v>
  </rv>
  <rv s="4">
    <fb>3088.8</fb>
    <v>10</v>
  </rv>
  <rv s="4">
    <fb>1236.4000000000001</fb>
    <v>10</v>
  </rv>
  <rv s="4">
    <fb>491.4</fb>
    <v>10</v>
  </rv>
  <rv s="4">
    <fb>46041</fb>
    <v>9</v>
  </rv>
  <rv s="4">
    <fb>2703.7</fb>
    <v>10</v>
  </rv>
  <rv s="4">
    <fb>25048.65</fb>
    <v>10</v>
  </rv>
  <rv s="4">
    <fb>227.08</fb>
    <v>10</v>
  </rv>
  <rv s="4">
    <fb>504.5</fb>
    <v>10</v>
  </rv>
  <rv s="4">
    <fb>2938.6</fb>
    <v>10</v>
  </rv>
  <rv s="4">
    <fb>1047.5</fb>
    <v>10</v>
  </rv>
  <rv s="4">
    <fb>459.95</fb>
    <v>10</v>
  </rv>
  <rv s="4">
    <fb>46049</fb>
    <v>9</v>
  </rv>
  <rv s="4">
    <fb>2428.3000000000002</fb>
    <v>10</v>
  </rv>
  <rv s="4">
    <fb>25320.65</fb>
    <v>10</v>
  </rv>
  <rv s="4">
    <fb>230.19</fb>
    <v>10</v>
  </rv>
  <rv s="4">
    <fb>462.9</fb>
    <v>10</v>
  </rv>
  <rv s="4">
    <fb>2800</fb>
    <v>10</v>
  </rv>
  <rv s="4">
    <fb>1044.4000000000001</fb>
    <v>10</v>
  </rv>
  <rv s="4">
    <fb>463.85</fb>
    <v>10</v>
  </rv>
  <rv s="4">
    <fb>46054</fb>
    <v>9</v>
  </rv>
  <rv s="4">
    <fb>2401.1</fb>
    <v>10</v>
  </rv>
  <rv s="4">
    <fb>25693.7</fb>
    <v>10</v>
  </rv>
  <rv s="4">
    <fb>214.35</fb>
    <v>10</v>
  </rv>
  <rv s="4">
    <fb>472.4</fb>
    <v>10</v>
  </rv>
  <rv s="4">
    <fb>2918.6</fb>
    <v>10</v>
  </rv>
  <rv s="4">
    <fb>1008.9</fb>
    <v>10</v>
  </rv>
  <rv s="4">
    <fb>465.5</fb>
    <v>10</v>
  </rv>
  <rv s="4">
    <fb>46062</fb>
    <v>9</v>
  </rv>
  <rv s="4">
    <fb>2366.4</fb>
    <v>10</v>
  </rv>
  <rv s="4">
    <fb>25471.1</fb>
    <v>10</v>
  </rv>
  <rv s="4">
    <fb>200.03</fb>
    <v>10</v>
  </rv>
  <rv s="4">
    <fb>462</fb>
    <v>10</v>
  </rv>
  <rv s="4">
    <fb>2950.9</fb>
    <v>10</v>
  </rv>
  <rv s="4">
    <fb>973.1</fb>
    <v>10</v>
  </rv>
  <rv s="4">
    <fb>472.6</fb>
    <v>10</v>
  </rv>
  <rv s="4">
    <fb>46069</fb>
    <v>9</v>
  </rv>
  <rv s="4">
    <fb>2428.1</fb>
    <v>10</v>
  </rv>
  <rv s="4">
    <fb>25571.25</fb>
    <v>10</v>
  </rv>
  <rv s="4">
    <fb>198.69</fb>
    <v>10</v>
  </rv>
  <rv s="4">
    <fb>455.45</fb>
    <v>10</v>
  </rv>
  <rv s="4">
    <fb>3054.4</fb>
    <v>10</v>
  </rv>
  <rv s="4">
    <fb>944</fb>
    <v>10</v>
  </rv>
  <rv s="4">
    <fb>46076</fb>
    <v>9</v>
  </rv>
  <rv s="4">
    <fb>2376.1999999999998</fb>
    <v>10</v>
  </rv>
  <rv s="4">
    <fb>25178.65</fb>
    <v>10</v>
  </rv>
  <rv s="4">
    <fb>203.51</fb>
    <v>10</v>
  </rv>
  <rv s="4">
    <fb>456.1</fb>
    <v>10</v>
  </rv>
  <rv s="4">
    <fb>2935.3</fb>
    <v>10</v>
  </rv>
  <rv s="4">
    <fb>936.8</fb>
    <v>10</v>
  </rv>
  <rv s="4">
    <fb>457.25</fb>
    <v>10</v>
  </rv>
  <rv s="4">
    <fb>46083</fb>
    <v>9</v>
  </rv>
  <rv s="4">
    <fb>2279.5</fb>
    <v>10</v>
  </rv>
  <rv s="4">
    <fb>24450.45</fb>
    <v>10</v>
  </rv>
  <rv s="4">
    <fb>189.19</fb>
    <v>10</v>
  </rv>
  <rv s="4">
    <fb>440.3</fb>
    <v>10</v>
  </rv>
  <rv s="4">
    <fb>2774.8</fb>
    <v>10</v>
  </rv>
  <rv s="4">
    <fb>873.5</fb>
    <v>10</v>
  </rv>
  <rv s="4">
    <fb>451.4</fb>
    <v>10</v>
  </rv>
  <rv s="4">
    <fb>46090</fb>
    <v>9</v>
  </rv>
  <rv s="4">
    <fb>2196.8000000000002</fb>
    <v>10</v>
  </rv>
  <rv s="4">
    <fb>23151.1</fb>
    <v>10</v>
  </rv>
  <rv s="4">
    <fb>182.14</fb>
    <v>10</v>
  </rv>
  <rv s="4">
    <fb>407.8</fb>
    <v>10</v>
  </rv>
  <rv s="4">
    <fb>2866</fb>
    <v>10</v>
  </rv>
  <rv s="4">
    <fb>786.85</fb>
    <v>10</v>
  </rv>
  <rv s="4">
    <fb>410.25</fb>
    <v>10</v>
  </rv>
  <rv s="4">
    <fb>46097</fb>
    <v>9</v>
  </rv>
  <rv s="4">
    <fb>2195.4</fb>
    <v>10</v>
  </rv>
  <rv s="4">
    <fb>23114.5</fb>
    <v>10</v>
  </rv>
  <rv s="4">
    <fb>166.77</fb>
    <v>10</v>
  </rv>
  <rv s="4">
    <fb>416.7</fb>
    <v>10</v>
  </rv>
  <rv s="4">
    <fb>2885.1</fb>
    <v>10</v>
  </rv>
  <rv s="4">
    <fb>743.75</fb>
    <v>10</v>
  </rv>
  <rv s="4">
    <fb>429.25</fb>
    <v>10</v>
  </rv>
  <rv s="4">
    <fb>46104</fb>
    <v>9</v>
  </rv>
  <rv s="4">
    <fb>2207.4</fb>
    <v>10</v>
  </rv>
  <rv s="4">
    <fb>22819.599999999999</fb>
    <v>10</v>
  </rv>
  <rv s="4">
    <fb>170.5</fb>
    <v>10</v>
  </rv>
  <rv s="4">
    <fb>414.65</fb>
    <v>10</v>
  </rv>
  <rv s="4">
    <fb>2947.5</fb>
    <v>10</v>
  </rv>
  <rv s="4">
    <fb>730.8</fb>
    <v>10</v>
  </rv>
  <rv s="4">
    <fb>419.7</fb>
    <v>10</v>
  </rv>
  <rv s="4">
    <fb>46111</fb>
    <v>9</v>
  </rv>
  <rv s="4">
    <fb>2169</fb>
    <v>10</v>
  </rv>
  <rv s="4">
    <fb>22713.1</fb>
    <v>10</v>
  </rv>
  <rv s="4">
    <fb>178.6</fb>
    <v>10</v>
  </rv>
  <rv s="4">
    <fb>422.25</fb>
    <v>10</v>
  </rv>
  <rv s="4">
    <fb>2991.8</fb>
    <v>10</v>
  </rv>
  <rv s="4">
    <fb>767.6</fb>
    <v>10</v>
  </rv>
  <rv s="4">
    <fb>422.1</fb>
    <v>10</v>
  </rv>
  <rv s="4">
    <fb>46118</fb>
    <v>9</v>
  </rv>
  <rv s="4">
    <fb>2360.6999999999998</fb>
    <v>10</v>
  </rv>
  <rv s="4">
    <fb>24050.6</fb>
    <v>10</v>
  </rv>
  <rv s="4">
    <fb>191.52</fb>
    <v>10</v>
  </rv>
  <rv s="4">
    <fb>454</fb>
    <v>10</v>
  </rv>
  <rv s="4">
    <fb>2975.7</fb>
    <v>10</v>
  </rv>
  <rv s="4">
    <fb>810.9</fb>
    <v>10</v>
  </rv>
  <rv s="4">
    <fb>437.15</fb>
    <v>10</v>
  </rv>
  <rv s="4">
    <fb>46125</fb>
    <v>9</v>
  </rv>
  <rv s="4">
    <fb>2464</fb>
    <v>10</v>
  </rv>
  <rv s="4">
    <fb>24353.55</fb>
    <v>10</v>
  </rv>
  <rv s="4">
    <fb>203.09</fb>
    <v>10</v>
  </rv>
  <rv s="4">
    <fb>468.6</fb>
    <v>10</v>
  </rv>
  <rv s="4">
    <fb>2925.3</fb>
    <v>10</v>
  </rv>
  <rv s="4">
    <fb>838</fb>
    <v>10</v>
  </rv>
  <rv s="4">
    <fb>456.7</fb>
    <v>10</v>
  </rv>
  <rv s="4">
    <fb>46132</fb>
    <v>9</v>
  </rv>
  <rv s="4">
    <fb>2485.1</fb>
    <v>10</v>
  </rv>
  <rv s="4">
    <fb>23897.95</fb>
    <v>10</v>
  </rv>
  <rv s="4">
    <fb>197.15</fb>
    <v>10</v>
  </rv>
  <rv s="4">
    <fb>460.4</fb>
    <v>10</v>
  </rv>
  <rv s="4">
    <fb>2947.8</fb>
    <v>10</v>
  </rv>
  <rv s="4">
    <fb>860.05</fb>
    <v>10</v>
  </rv>
  <rv s="4">
    <fb>437.3</fb>
    <v>10</v>
  </rv>
  <rv s="4">
    <fb>46139</fb>
    <v>9</v>
  </rv>
  <rv s="4">
    <fb>2444.5</fb>
    <v>10</v>
  </rv>
  <rv s="4">
    <fb>23997.55</fb>
    <v>10</v>
  </rv>
  <rv s="4">
    <fb>197.19</fb>
    <v>10</v>
  </rv>
  <rv s="4">
    <fb>473.1</fb>
    <v>10</v>
  </rv>
  <rv s="4">
    <fb>2950.7</fb>
    <v>10</v>
  </rv>
  <rv s="4">
    <fb>860.2</fb>
    <v>10</v>
  </rv>
  <rv s="4">
    <fb>423.75</fb>
    <v>10</v>
  </rv>
  <rv s="4">
    <fb>46146</fb>
    <v>9</v>
  </rv>
  <rv s="4">
    <fb>2599.9</fb>
    <v>10</v>
  </rv>
  <rv s="4">
    <fb>24176.15</fb>
    <v>10</v>
  </rv>
  <rv s="4">
    <fb>220.35</fb>
    <v>10</v>
  </rv>
  <rv s="4">
    <fb>515.75</fb>
    <v>10</v>
  </rv>
  <rv s="4">
    <fb>2949.4</fb>
    <v>10</v>
  </rv>
  <rv s="4">
    <fb>974.15</fb>
    <v>10</v>
  </rv>
  <rv s="4">
    <fb>423.1</fb>
    <v>10</v>
  </rv>
  <rv s="4">
    <fb>46153</fb>
    <v>9</v>
  </rv>
  <rv s="4">
    <fb>2605.6</fb>
    <v>10</v>
  </rv>
  <rv s="4">
    <fb>23643.5</fb>
    <v>10</v>
  </rv>
  <rv s="4">
    <fb>222.07</fb>
    <v>10</v>
  </rv>
  <rv s="4">
    <fb>2936.8</fb>
    <v>10</v>
  </rv>
  <rv s="4">
    <fb>985.3</fb>
    <v>10</v>
  </rv>
  <rv s="4">
    <fb>436.3</fb>
    <v>10</v>
  </rv>
  <rv s="4">
    <fb>46160</fb>
    <v>9</v>
  </rv>
  <rv s="4">
    <fb>2639.8</fb>
    <v>10</v>
  </rv>
  <rv s="4">
    <fb>23719.3</fb>
    <v>10</v>
  </rv>
  <rv s="4">
    <fb>217.94</fb>
    <v>10</v>
  </rv>
  <rv s="4">
    <fb>501.15</fb>
    <v>10</v>
  </rv>
  <rv s="4">
    <fb>2897</fb>
    <v>10</v>
  </rv>
  <rv s="4">
    <fb>1003.4</fb>
    <v>10</v>
  </rv>
  <rv s="4">
    <fb>419.35</fb>
    <v>10</v>
  </rv>
  <rv s="4">
    <fb>46167</fb>
    <v>9</v>
  </rv>
  <rv s="4">
    <fb>2671.6</fb>
    <v>10</v>
  </rv>
  <rv s="4">
    <fb>23547.75</fb>
    <v>10</v>
  </rv>
  <rv s="4">
    <fb>218.06</fb>
    <v>10</v>
  </rv>
  <rv s="4">
    <fb>500.6</fb>
    <v>10</v>
  </rv>
  <rv s="4">
    <fb>3151.8</fb>
    <v>10</v>
  </rv>
  <rv s="4">
    <fb>990.9</fb>
    <v>10</v>
  </rv>
  <rv s="4">
    <fb>417.7</fb>
    <v>10</v>
  </rv>
  <rv s="4">
    <fb>46174</fb>
    <v>9</v>
  </rv>
  <rv s="4">
    <fb>2686.7</fb>
    <v>10</v>
  </rv>
  <rv s="4">
    <fb>23366.7</fb>
    <v>10</v>
  </rv>
  <rv s="4">
    <fb>210.89</fb>
    <v>10</v>
  </rv>
  <rv s="4">
    <fb>3110.9</fb>
    <v>10</v>
  </rv>
  <rv s="4">
    <fb>954.2</fb>
    <v>10</v>
  </rv>
  <rv s="4">
    <fb>419.45</fb>
    <v>10</v>
  </rv>
  <rv s="4">
    <fb>46181</fb>
    <v>9</v>
  </rv>
  <rv s="4">
    <fb>2747.4</fb>
    <v>10</v>
  </rv>
  <rv s="4">
    <fb>23622.9</fb>
    <v>10</v>
  </rv>
  <rv s="4">
    <fb>515.15</fb>
    <v>10</v>
  </rv>
  <rv s="4">
    <fb>3168.4</fb>
    <v>10</v>
  </rv>
  <rv s="4">
    <fb>995.2</fb>
    <v>10</v>
  </rv>
  <rv s="4">
    <fb>418.15</fb>
    <v>10</v>
  </rv>
  <rv s="4">
    <fb>46188</fb>
    <v>9</v>
  </rv>
  <rv s="4">
    <fb>2732.9</fb>
    <v>10</v>
  </rv>
  <rv s="4">
    <fb>24013.1</fb>
    <v>10</v>
  </rv>
  <rv s="4">
    <fb>211.13</fb>
    <v>10</v>
  </rv>
  <rv s="4">
    <fb>550.70000000000005</fb>
    <v>10</v>
  </rv>
  <rv s="4">
    <fb>3291.8</fb>
    <v>10</v>
  </rv>
  <rv s="4">
    <fb>1025.1500000000001</fb>
    <v>10</v>
  </rv>
  <rv s="4">
    <fb>412.3</fb>
    <v>10</v>
  </rv>
  <rv s="4">
    <fb>46195</fb>
    <v>9</v>
  </rv>
  <rv s="4">
    <fb>2645.2</fb>
    <v>10</v>
  </rv>
  <rv s="4">
    <fb>24056</fb>
    <v>10</v>
  </rv>
  <rv s="4">
    <fb>212.41</fb>
    <v>10</v>
  </rv>
  <rv s="4">
    <fb>538.65</fb>
    <v>10</v>
  </rv>
  <rv s="4">
    <fb>3199.1</fb>
    <v>10</v>
  </rv>
  <rv s="4">
    <fb>1006.25</fb>
    <v>10</v>
  </rv>
  <rv s="4">
    <fb>407.05</fb>
    <v>10</v>
  </rv>
  <rv s="4">
    <fb>46202</fb>
    <v>9</v>
  </rv>
  <rv s="4">
    <fb>2737.8</fb>
    <v>10</v>
  </rv>
  <rv s="4">
    <fb>24270.85</fb>
    <v>10</v>
  </rv>
  <rv s="4">
    <fb>211.83</fb>
    <v>10</v>
  </rv>
  <rv s="4">
    <fb>519.45000000000005</fb>
    <v>10</v>
  </rv>
  <rv s="4">
    <fb>3276.6</fb>
    <v>10</v>
  </rv>
  <rv s="4">
    <fb>1065.9000000000001</fb>
    <v>10</v>
  </rv>
  <rv s="4">
    <fb>402.45</fb>
    <v>10</v>
  </rv>
  <rv s="4">
    <fb>46209</fb>
    <v>9</v>
  </rv>
  <rv s="4">
    <fb>2677.8</fb>
    <v>10</v>
  </rv>
  <rv s="4">
    <fb>24206.9</fb>
    <v>10</v>
  </rv>
  <rv s="4">
    <fb>202.64</fb>
    <v>10</v>
  </rv>
  <rv s="4">
    <fb>497.25</fb>
    <v>10</v>
  </rv>
  <rv s="4">
    <fb>2933.5</fb>
    <v>10</v>
  </rv>
  <rv s="4">
    <fb>1052.4000000000001</fb>
    <v>10</v>
  </rv>
  <rv s="4">
    <fb>393.65</fb>
    <v>10</v>
  </rv>
  <rv s="4">
    <fb>46216</fb>
    <v>9</v>
  </rv>
  <rv s="4">
    <fb>2689</fb>
    <v>10</v>
  </rv>
  <rv s="4">
    <fb>24334.3</fb>
    <v>10</v>
  </rv>
  <rv s="4">
    <fb>201.28</fb>
    <v>10</v>
  </rv>
  <rv s="4">
    <fb>3034.1</fb>
    <v>10</v>
  </rv>
  <rv s="4">
    <fb>1065.0999999999999</fb>
    <v>10</v>
  </rv>
  <rv s="4">
    <fb>391</fb>
    <v>10</v>
  </rv>
  <rv s="4">
    <fb>46223</fb>
    <v>9</v>
  </rv>
  <rv s="4">
    <fb>2637.9</fb>
    <v>10</v>
  </rv>
  <rv s="4">
    <fb>23767.45</fb>
    <v>10</v>
  </rv>
  <rv s="4">
    <fb>193.19</fb>
    <v>10</v>
  </rv>
  <rv s="4">
    <fb>497.95</fb>
    <v>10</v>
  </rv>
  <rv s="4">
    <fb>2943.9</fb>
    <v>10</v>
  </rv>
  <rv s="4">
    <fb>1048.9000000000001</fb>
    <v>10</v>
  </rv>
  <rv s="4">
    <fb>393.45</fb>
    <v>10</v>
  </rv>
  <rv s="5">
    <v>11</v>
    <v>ahgz6h</v>
    <v>Weekly</v>
    <v>44395</v>
    <v>46228</v>
    <v>0</v>
    <v>1</v>
    <v>639204480000000000,639270296711472808,0</v>
    <v>0</v>
    <v>ahgz6h</v>
    <v>XNSE:ASIANPAINT</v>
    <v>1</v>
  </rv>
  <rv s="5">
    <v>11</v>
    <v>ahkqww</v>
    <v>Weekly</v>
    <v>44395</v>
    <v>46228</v>
    <v>0</v>
    <v>1</v>
    <v>639204480000000000,639270296709922803,0</v>
    <v>2</v>
    <v>ahkqww</v>
    <v>NIFTY</v>
    <v>3</v>
  </rv>
  <rv s="5">
    <v>11</v>
    <v>ahikcw</v>
    <v>Weekly</v>
    <v>44395</v>
    <v>46228</v>
    <v>0</v>
    <v>1</v>
    <v>639204480000000000,639270296712223971,0</v>
    <v>0</v>
    <v>ahikcw</v>
    <v>XNSE:KANSAINER</v>
    <v>4</v>
  </rv>
  <rv s="5">
    <v>11</v>
    <v>ahh5yc</v>
    <v>Weekly</v>
    <v>44395</v>
    <v>46228</v>
    <v>0</v>
    <v>1</v>
    <v>639204480000000000,639270296711839271,0</v>
    <v>0</v>
    <v>ahh5yc</v>
    <v>XNSE:BERGEPAINT</v>
    <v>5</v>
  </rv>
  <rv s="5">
    <v>11</v>
    <v>bxl9f2</v>
    <v>Weekly</v>
    <v>44395</v>
    <v>46228</v>
    <v>0</v>
    <v>1</v>
    <v>639204480000000000,639270296710299282,0</v>
    <v>0</v>
    <v>bxl9f2</v>
    <v>XNSE:INDIGOPNTS</v>
    <v>6</v>
  </rv>
  <rv s="5">
    <v>11</v>
    <v>b14qjc</v>
    <v>Weekly</v>
    <v>44395</v>
    <v>46228</v>
    <v>0</v>
    <v>1</v>
    <v>639204480000000000,639270296711070650,0</v>
    <v>0</v>
    <v>b14qjc</v>
    <v>XNSE:SIRCA</v>
    <v>7</v>
  </rv>
  <rv s="5">
    <v>11</v>
    <v>ahgtm7</v>
    <v>Weekly</v>
    <v>44395</v>
    <v>46228</v>
    <v>0</v>
    <v>1</v>
    <v>639204480000000000,639270296710682799,0</v>
    <v>0</v>
    <v>ahgtm7</v>
    <v>XNSE:JSWDULUX</v>
    <v>8</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ountry/region" t="s"/>
    <k n="High"/>
    <k n="Instrument type" t="s"/>
    <k n="LearnMoreOnLink" t="r"/>
    <k n="Low"/>
    <k n="Name" t="s"/>
    <k n="Open"/>
    <k n="Previous close"/>
    <k n="Price"/>
    <k n="Ticker symbol" t="s"/>
    <k n="UniqueName" t="s"/>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12">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1</v>
      <v>1</v>
    </spb>
    <spb s="6">
      <v>1</v>
      <v>1</v>
      <v>3</v>
      <v>1</v>
      <v>1</v>
      <v>1</v>
      <v>5</v>
      <v>1</v>
      <v>1</v>
      <v>1</v>
      <v>9</v>
    </spb>
    <spb s="7">
      <v>from previous close</v>
      <v>from previous close</v>
    </spb>
    <spb s="8">
      <v>10</v>
    </spb>
    <spb s="8">
      <v>1</v>
    </spb>
    <spb s="9">
      <v>10</v>
      <v>1</v>
    </spb>
  </spbData>
</supportingPropertyBags>
</file>

<file path=xl/richData/rdsupportingpropertybagstructure.xml><?xml version="1.0" encoding="utf-8"?>
<spbStructures xmlns="http://schemas.microsoft.com/office/spreadsheetml/2017/richdata2" count="1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UniqueName" t="spb"/>
    <k n="`%ProviderInfo" t="spb"/>
    <k n="LearnMoreOnLink" t="spb"/>
  </s>
  <s>
    <k n="Low" t="i"/>
    <k n="High" t="i"/>
    <k n="Name" t="i"/>
    <k n="Open" t="i"/>
    <k n="Price" t="i"/>
    <k n="Change" t="i"/>
    <k n="Change (%)" t="i"/>
    <k n="52 week low" t="i"/>
    <k n="52 week high" t="i"/>
    <k n="Previous close" t="i"/>
    <k n="`%EntityServiceId" t="i"/>
  </s>
  <s>
    <k n="Change" t="s"/>
    <k n="Change (%)"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dxfid="7"/>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0" dT="2026-07-23T18:39:07.84" personId="{3B0C21C4-2E88-45E0-878F-EB78C3B9C7CE}" id="{DA828144-3943-44B9-9A0F-56EB7B005A04}">
    <text>Based on PPE Schedule</text>
  </threadedComment>
  <threadedComment ref="C35" dT="2026-07-23T18:36:21.01" personId="{3B0C21C4-2E88-45E0-878F-EB78C3B9C7CE}" id="{26B49EA7-9402-4350-A1C8-FF1F42214DDE}">
    <text>Conservative Approach as debt is very less</text>
  </threadedComment>
  <threadedComment ref="H39" dT="2026-08-20T10:50:11.03" personId="{3B0C21C4-2E88-45E0-878F-EB78C3B9C7CE}" id="{058592A4-399E-4D39-A12F-81B1A237D3DB}">
    <text xml:space="preserve">Taken as median of Capex/Sales where capex is taken as fixed asset purchased from cash flow statement
</text>
  </threadedComment>
  <threadedComment ref="C44" dT="2026-07-23T18:47:48.78" personId="{3B0C21C4-2E88-45E0-878F-EB78C3B9C7CE}" id="{A8B50CF8-9547-4E1F-B155-50EA3DA2BAEC}">
    <text xml:space="preserve">11% of revenue as historically it has been that only
</text>
  </threadedComment>
  <threadedComment ref="C47" dT="2026-07-23T18:45:56.27" personId="{3B0C21C4-2E88-45E0-878F-EB78C3B9C7CE}" id="{A25D73E6-E51C-4D14-9826-B73771D8C962}">
    <text xml:space="preserve">Take 14% of revenue as historically it has been that only
</text>
  </threadedComment>
</ThreadedComments>
</file>

<file path=xl/threadedComments/threadedComment2.xml><?xml version="1.0" encoding="utf-8"?>
<ThreadedComments xmlns="http://schemas.microsoft.com/office/spreadsheetml/2018/threadedcomments" xmlns:x="http://schemas.openxmlformats.org/spreadsheetml/2006/main">
  <threadedComment ref="E17" dT="2026-07-22T18:10:39.45" personId="{3B0C21C4-2E88-45E0-878F-EB78C3B9C7CE}" id="{7FBD8686-A85F-4614-B28B-E06C1BF0277B}">
    <text xml:space="preserve">Risk Free Bond Yield (G-Sec 10 Yrs) + Credit Spread by Aswath Damodaran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C02B0A-96ED-4CB3-8BC5-F3FAE41673CA}">
  <we:reference id="wa200009404" version="1.0.0.8" store="en-US" storeType="OMEX"/>
  <we:alternateReferences>
    <we:reference id="WA200009404" version="1.0.0.8" store="" storeType="OMEX"/>
  </we:alternateReferences>
  <we:properties>
    <we:property name="claude.fileId" value="&quot;e73a7a3b-8fd3-43f7-b6b6-bbe6c88d02a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investmentguruindia.com/editorial/uploads/news-pdf/af4c780e_Paints%20-%20Sector%20Initiating%20Report_ACM.pdf?utm_source=chatgpt.com" TargetMode="External"/><Relationship Id="rId2" Type="http://schemas.openxmlformats.org/officeDocument/2006/relationships/hyperlink" Target="https://investmentguruindia.com/editorial/uploads/news-pdf/af4c780e_Paints%20-%20Sector%20Initiating%20Report_ACM.pdf?utm_source=chatgpt.com" TargetMode="External"/><Relationship Id="rId1" Type="http://schemas.openxmlformats.org/officeDocument/2006/relationships/hyperlink" Target="https://investmentguruindia.com/editorial/uploads/news-pdf/af4c780e_Paints%20-%20Sector%20Initiating%20Report_ACM.pdf?utm_source=chatgpt.com" TargetMode="External"/><Relationship Id="rId6" Type="http://schemas.openxmlformats.org/officeDocument/2006/relationships/drawing" Target="../drawings/drawing1.xml"/><Relationship Id="rId5" Type="http://schemas.openxmlformats.org/officeDocument/2006/relationships/hyperlink" Target="https://investmentguruindia.com/editorial/uploads/news-pdf/af4c780e_Paints%20-%20Sector%20Initiating%20Report_ACM.pdf?utm_source=chatgpt.com" TargetMode="External"/><Relationship Id="rId4" Type="http://schemas.openxmlformats.org/officeDocument/2006/relationships/hyperlink" Target="https://investmentguruindia.com/editorial/uploads/news-pdf/af4c780e_Paints%20-%20Sector%20Initiating%20Report_ACM.pdf?utm_source=chatgpt.com"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CA069-785B-4226-A6CC-71DF86242F74}">
  <dimension ref="B2:X228"/>
  <sheetViews>
    <sheetView topLeftCell="H189" zoomScale="73" zoomScaleNormal="85" workbookViewId="0">
      <selection activeCell="O192" sqref="O192"/>
    </sheetView>
  </sheetViews>
  <sheetFormatPr defaultRowHeight="14.4" x14ac:dyDescent="0.3"/>
  <cols>
    <col min="2" max="2" width="46.88671875" customWidth="1"/>
    <col min="3" max="3" width="9.33203125" customWidth="1"/>
    <col min="4" max="4" width="10.6640625" customWidth="1"/>
    <col min="5" max="5" width="36.44140625" customWidth="1"/>
    <col min="6" max="6" width="15.44140625" customWidth="1"/>
    <col min="7" max="7" width="15.6640625" customWidth="1"/>
    <col min="8" max="8" width="27" bestFit="1" customWidth="1"/>
    <col min="9" max="9" width="17.88671875" bestFit="1" customWidth="1"/>
    <col min="10" max="11" width="16" bestFit="1" customWidth="1"/>
    <col min="13" max="13" width="19.6640625" bestFit="1" customWidth="1"/>
    <col min="14" max="14" width="168" bestFit="1" customWidth="1"/>
    <col min="16" max="16" width="5.21875" bestFit="1" customWidth="1"/>
    <col min="17" max="17" width="71" bestFit="1" customWidth="1"/>
    <col min="18" max="18" width="70.21875" customWidth="1"/>
    <col min="19" max="19" width="12.21875" customWidth="1"/>
    <col min="20" max="20" width="14.6640625" customWidth="1"/>
    <col min="21" max="21" width="12.77734375" customWidth="1"/>
    <col min="22" max="22" width="17.21875" customWidth="1"/>
    <col min="23" max="23" width="15.44140625" customWidth="1"/>
    <col min="27" max="27" width="11.21875" bestFit="1" customWidth="1"/>
    <col min="28" max="28" width="53.88671875" bestFit="1" customWidth="1"/>
  </cols>
  <sheetData>
    <row r="2" spans="2:23" x14ac:dyDescent="0.3">
      <c r="B2" s="274" t="s">
        <v>308</v>
      </c>
      <c r="C2" s="275"/>
      <c r="D2" s="275"/>
      <c r="E2" s="275"/>
      <c r="F2" s="275"/>
      <c r="G2" s="275"/>
      <c r="H2" s="275"/>
      <c r="N2" s="133" t="s">
        <v>296</v>
      </c>
    </row>
    <row r="3" spans="2:23" x14ac:dyDescent="0.3">
      <c r="M3" s="1" t="s">
        <v>297</v>
      </c>
    </row>
    <row r="4" spans="2:23" x14ac:dyDescent="0.3">
      <c r="B4" s="121" t="s">
        <v>296</v>
      </c>
      <c r="C4" s="121" t="s">
        <v>297</v>
      </c>
      <c r="D4" s="121" t="s">
        <v>298</v>
      </c>
      <c r="E4" s="121"/>
      <c r="F4" s="121" t="s">
        <v>299</v>
      </c>
      <c r="G4" s="121" t="s">
        <v>300</v>
      </c>
      <c r="H4" s="125" t="s">
        <v>408</v>
      </c>
      <c r="M4" s="121" t="s">
        <v>309</v>
      </c>
      <c r="N4" s="121" t="s">
        <v>310</v>
      </c>
    </row>
    <row r="5" spans="2:23" ht="13.8" customHeight="1" x14ac:dyDescent="0.3">
      <c r="B5" s="104" t="s">
        <v>301</v>
      </c>
      <c r="C5" s="141">
        <v>7.0000000000000007E-2</v>
      </c>
      <c r="D5" s="141">
        <v>-5.0000000000000001E-3</v>
      </c>
      <c r="E5" s="141"/>
      <c r="F5" s="119">
        <v>1.6E-2</v>
      </c>
      <c r="G5" s="119">
        <v>2.1000000000000001E-2</v>
      </c>
      <c r="H5" s="202" t="s">
        <v>411</v>
      </c>
      <c r="M5" s="123" t="s">
        <v>292</v>
      </c>
      <c r="N5" s="123" t="s">
        <v>311</v>
      </c>
      <c r="P5" s="121" t="s">
        <v>463</v>
      </c>
      <c r="Q5" s="121" t="s">
        <v>464</v>
      </c>
      <c r="R5" s="125" t="s">
        <v>465</v>
      </c>
    </row>
    <row r="6" spans="2:23" x14ac:dyDescent="0.3">
      <c r="B6" s="104" t="s">
        <v>302</v>
      </c>
      <c r="C6" s="141">
        <v>-0.03</v>
      </c>
      <c r="D6" s="141">
        <v>-6.7000000000000004E-2</v>
      </c>
      <c r="E6" s="141"/>
      <c r="F6" s="119">
        <v>-7.8E-2</v>
      </c>
      <c r="G6" s="119">
        <v>-4.1000000000000002E-2</v>
      </c>
      <c r="H6" s="241" t="s">
        <v>412</v>
      </c>
      <c r="M6" s="123" t="s">
        <v>272</v>
      </c>
      <c r="N6" s="123" t="s">
        <v>312</v>
      </c>
      <c r="P6" s="121">
        <v>1</v>
      </c>
      <c r="Q6" s="122" t="s">
        <v>466</v>
      </c>
      <c r="R6" s="123" t="s">
        <v>467</v>
      </c>
    </row>
    <row r="7" spans="2:23" x14ac:dyDescent="0.3">
      <c r="B7" s="104" t="s">
        <v>303</v>
      </c>
      <c r="C7" s="202" t="s">
        <v>304</v>
      </c>
      <c r="D7" s="202" t="s">
        <v>339</v>
      </c>
      <c r="E7" s="202"/>
      <c r="F7" s="202" t="s">
        <v>372</v>
      </c>
      <c r="G7" s="202" t="s">
        <v>372</v>
      </c>
      <c r="H7" s="202"/>
      <c r="M7" s="123" t="s">
        <v>313</v>
      </c>
      <c r="N7" s="123" t="s">
        <v>314</v>
      </c>
      <c r="P7" s="121">
        <v>2</v>
      </c>
      <c r="Q7" s="122" t="s">
        <v>826</v>
      </c>
      <c r="R7" s="123" t="s">
        <v>467</v>
      </c>
    </row>
    <row r="8" spans="2:23" x14ac:dyDescent="0.3">
      <c r="B8" s="104" t="s">
        <v>306</v>
      </c>
      <c r="C8" s="242" t="s">
        <v>305</v>
      </c>
      <c r="D8" s="202">
        <v>0</v>
      </c>
      <c r="E8" s="202"/>
      <c r="F8" s="202">
        <v>0</v>
      </c>
      <c r="G8" s="202">
        <v>0</v>
      </c>
      <c r="H8" s="104"/>
      <c r="M8" s="123" t="s">
        <v>315</v>
      </c>
      <c r="N8" s="123" t="s">
        <v>316</v>
      </c>
      <c r="P8" s="121">
        <v>3</v>
      </c>
      <c r="Q8" s="122" t="s">
        <v>468</v>
      </c>
      <c r="R8" s="123" t="s">
        <v>467</v>
      </c>
    </row>
    <row r="9" spans="2:23" x14ac:dyDescent="0.3">
      <c r="B9" s="104" t="s">
        <v>392</v>
      </c>
      <c r="C9" s="104">
        <v>61</v>
      </c>
      <c r="D9" s="104">
        <v>62</v>
      </c>
      <c r="E9" s="104"/>
      <c r="F9" s="104">
        <v>64</v>
      </c>
      <c r="G9" s="104">
        <v>72</v>
      </c>
      <c r="H9" s="104"/>
      <c r="M9" s="123" t="s">
        <v>317</v>
      </c>
      <c r="N9" s="123" t="s">
        <v>318</v>
      </c>
      <c r="P9" s="121">
        <v>4</v>
      </c>
      <c r="Q9" s="122" t="s">
        <v>469</v>
      </c>
      <c r="R9" s="123" t="s">
        <v>470</v>
      </c>
    </row>
    <row r="10" spans="2:23" x14ac:dyDescent="0.3">
      <c r="B10" s="104" t="s">
        <v>409</v>
      </c>
      <c r="C10" s="202" t="s">
        <v>410</v>
      </c>
      <c r="D10" s="202" t="s">
        <v>410</v>
      </c>
      <c r="E10" s="202"/>
      <c r="F10" s="202" t="s">
        <v>410</v>
      </c>
      <c r="G10" s="202" t="s">
        <v>410</v>
      </c>
      <c r="H10" s="202" t="s">
        <v>410</v>
      </c>
      <c r="M10" s="123" t="s">
        <v>319</v>
      </c>
      <c r="N10" s="123" t="s">
        <v>320</v>
      </c>
      <c r="P10" s="121">
        <v>5</v>
      </c>
      <c r="Q10" s="122" t="s">
        <v>471</v>
      </c>
      <c r="R10" s="123" t="s">
        <v>475</v>
      </c>
    </row>
    <row r="11" spans="2:23" x14ac:dyDescent="0.3">
      <c r="M11" s="123" t="s">
        <v>321</v>
      </c>
      <c r="N11" s="123" t="s">
        <v>322</v>
      </c>
      <c r="P11" s="121">
        <v>6</v>
      </c>
      <c r="Q11" s="122" t="s">
        <v>472</v>
      </c>
      <c r="R11" s="123" t="s">
        <v>476</v>
      </c>
    </row>
    <row r="12" spans="2:23" x14ac:dyDescent="0.3">
      <c r="M12" s="123" t="s">
        <v>303</v>
      </c>
      <c r="N12" s="123" t="s">
        <v>323</v>
      </c>
      <c r="P12" s="121">
        <v>7</v>
      </c>
      <c r="Q12" s="122" t="s">
        <v>473</v>
      </c>
      <c r="R12" s="123" t="s">
        <v>474</v>
      </c>
    </row>
    <row r="13" spans="2:23" x14ac:dyDescent="0.3">
      <c r="B13" s="135" t="s">
        <v>515</v>
      </c>
      <c r="C13" s="135" t="s">
        <v>297</v>
      </c>
      <c r="D13" s="135" t="s">
        <v>298</v>
      </c>
      <c r="E13" s="135"/>
      <c r="F13" s="135" t="s">
        <v>299</v>
      </c>
      <c r="G13" s="135" t="s">
        <v>300</v>
      </c>
      <c r="H13" s="128" t="s">
        <v>516</v>
      </c>
      <c r="M13" s="123" t="s">
        <v>324</v>
      </c>
      <c r="N13" s="123" t="s">
        <v>325</v>
      </c>
    </row>
    <row r="14" spans="2:23" x14ac:dyDescent="0.3">
      <c r="B14" t="s">
        <v>301</v>
      </c>
      <c r="C14" s="83">
        <v>4.2000000000000003E-2</v>
      </c>
      <c r="D14" s="136">
        <v>0.109</v>
      </c>
      <c r="E14" s="136"/>
      <c r="F14" s="57">
        <v>7.9000000000000001E-2</v>
      </c>
      <c r="G14" s="97">
        <v>0.124</v>
      </c>
      <c r="H14" s="26" t="s">
        <v>651</v>
      </c>
      <c r="M14" s="123" t="s">
        <v>326</v>
      </c>
      <c r="N14" s="123" t="s">
        <v>327</v>
      </c>
    </row>
    <row r="15" spans="2:23" x14ac:dyDescent="0.3">
      <c r="B15" t="s">
        <v>302</v>
      </c>
      <c r="C15" s="26">
        <v>-0.2</v>
      </c>
      <c r="D15" s="57">
        <v>6.7000000000000004E-2</v>
      </c>
      <c r="E15" s="57"/>
      <c r="F15" s="57">
        <v>2.8000000000000001E-2</v>
      </c>
      <c r="G15" s="57">
        <v>0.10199999999999999</v>
      </c>
      <c r="H15" s="26" t="s">
        <v>661</v>
      </c>
      <c r="M15" s="123" t="s">
        <v>328</v>
      </c>
      <c r="N15" s="123" t="s">
        <v>329</v>
      </c>
      <c r="P15" s="121" t="s">
        <v>463</v>
      </c>
      <c r="Q15" s="121" t="s">
        <v>464</v>
      </c>
      <c r="R15" s="121" t="s">
        <v>247</v>
      </c>
      <c r="S15" s="121" t="s">
        <v>700</v>
      </c>
      <c r="T15" s="121" t="s">
        <v>742</v>
      </c>
      <c r="U15" s="121" t="s">
        <v>250</v>
      </c>
      <c r="V15" s="121" t="s">
        <v>744</v>
      </c>
      <c r="W15" s="121" t="s">
        <v>827</v>
      </c>
    </row>
    <row r="16" spans="2:23" ht="57.6" x14ac:dyDescent="0.3">
      <c r="B16" t="s">
        <v>303</v>
      </c>
      <c r="C16" s="26" t="s">
        <v>517</v>
      </c>
      <c r="D16" s="26" t="s">
        <v>517</v>
      </c>
      <c r="E16" s="26"/>
      <c r="F16" s="26" t="s">
        <v>517</v>
      </c>
      <c r="G16" s="26" t="s">
        <v>517</v>
      </c>
      <c r="H16" s="26" t="s">
        <v>517</v>
      </c>
      <c r="M16" s="123" t="s">
        <v>330</v>
      </c>
      <c r="N16" s="123" t="s">
        <v>331</v>
      </c>
      <c r="P16" s="123">
        <v>1</v>
      </c>
      <c r="Q16" s="123" t="s">
        <v>466</v>
      </c>
      <c r="R16" s="127" t="s">
        <v>828</v>
      </c>
      <c r="S16" s="127" t="s">
        <v>828</v>
      </c>
      <c r="T16" s="127" t="s">
        <v>829</v>
      </c>
      <c r="U16" s="127" t="s">
        <v>828</v>
      </c>
      <c r="V16" s="127" t="s">
        <v>828</v>
      </c>
      <c r="W16" s="126" t="s">
        <v>830</v>
      </c>
    </row>
    <row r="17" spans="2:24" ht="43.2" x14ac:dyDescent="0.3">
      <c r="B17" t="s">
        <v>306</v>
      </c>
      <c r="C17" s="26">
        <v>100</v>
      </c>
      <c r="D17">
        <v>0</v>
      </c>
      <c r="H17">
        <v>700</v>
      </c>
      <c r="M17" s="123" t="s">
        <v>273</v>
      </c>
      <c r="N17" s="123" t="s">
        <v>332</v>
      </c>
      <c r="P17" s="123">
        <v>2</v>
      </c>
      <c r="Q17" s="123" t="s">
        <v>831</v>
      </c>
      <c r="R17" s="127" t="s">
        <v>832</v>
      </c>
      <c r="S17" s="127" t="s">
        <v>832</v>
      </c>
      <c r="T17" s="127" t="s">
        <v>832</v>
      </c>
      <c r="U17" s="127" t="s">
        <v>832</v>
      </c>
      <c r="V17" s="127" t="s">
        <v>832</v>
      </c>
      <c r="W17" s="126" t="s">
        <v>833</v>
      </c>
      <c r="X17" s="203" t="s">
        <v>846</v>
      </c>
    </row>
    <row r="18" spans="2:24" ht="43.2" x14ac:dyDescent="0.3">
      <c r="B18" t="s">
        <v>307</v>
      </c>
      <c r="C18" s="26">
        <v>72</v>
      </c>
      <c r="D18">
        <v>73</v>
      </c>
      <c r="F18">
        <v>74</v>
      </c>
      <c r="G18">
        <v>74</v>
      </c>
      <c r="M18" s="123" t="s">
        <v>333</v>
      </c>
      <c r="N18" s="123" t="s">
        <v>334</v>
      </c>
      <c r="P18" s="123">
        <v>3</v>
      </c>
      <c r="Q18" s="123" t="s">
        <v>468</v>
      </c>
      <c r="R18" s="127" t="s">
        <v>832</v>
      </c>
      <c r="S18" s="127" t="s">
        <v>832</v>
      </c>
      <c r="T18" s="127" t="s">
        <v>832</v>
      </c>
      <c r="U18" s="127" t="s">
        <v>832</v>
      </c>
      <c r="V18" s="127" t="s">
        <v>832</v>
      </c>
      <c r="W18" s="126" t="s">
        <v>833</v>
      </c>
    </row>
    <row r="19" spans="2:24" ht="43.2" x14ac:dyDescent="0.3">
      <c r="B19" s="134" t="s">
        <v>518</v>
      </c>
      <c r="C19" s="83" t="s">
        <v>410</v>
      </c>
      <c r="D19" s="83" t="s">
        <v>410</v>
      </c>
      <c r="E19" s="83"/>
      <c r="F19" s="26" t="s">
        <v>410</v>
      </c>
      <c r="G19" s="26" t="s">
        <v>410</v>
      </c>
      <c r="H19" s="26" t="s">
        <v>410</v>
      </c>
      <c r="M19" s="123" t="s">
        <v>117</v>
      </c>
      <c r="N19" s="123" t="s">
        <v>335</v>
      </c>
      <c r="P19" s="123">
        <v>4</v>
      </c>
      <c r="Q19" s="123" t="s">
        <v>469</v>
      </c>
      <c r="R19" s="127" t="s">
        <v>834</v>
      </c>
      <c r="S19" s="127" t="s">
        <v>834</v>
      </c>
      <c r="T19" s="127" t="s">
        <v>834</v>
      </c>
      <c r="U19" s="127" t="s">
        <v>834</v>
      </c>
      <c r="V19" s="127" t="s">
        <v>834</v>
      </c>
      <c r="W19" s="126" t="s">
        <v>835</v>
      </c>
    </row>
    <row r="20" spans="2:24" ht="57.6" x14ac:dyDescent="0.3">
      <c r="C20" s="138" t="s">
        <v>519</v>
      </c>
      <c r="D20" s="139"/>
      <c r="E20" s="139"/>
      <c r="F20" s="139"/>
      <c r="G20" s="139"/>
      <c r="H20" s="139"/>
      <c r="I20" s="139"/>
      <c r="J20" s="139"/>
      <c r="K20" s="139"/>
      <c r="L20" s="139"/>
      <c r="M20" s="123" t="s">
        <v>284</v>
      </c>
      <c r="N20" s="123" t="s">
        <v>336</v>
      </c>
      <c r="P20" s="123">
        <v>5</v>
      </c>
      <c r="Q20" s="123" t="s">
        <v>471</v>
      </c>
      <c r="R20" s="127" t="s">
        <v>836</v>
      </c>
      <c r="S20" s="127" t="s">
        <v>836</v>
      </c>
      <c r="T20" s="127" t="s">
        <v>836</v>
      </c>
      <c r="U20" s="127" t="s">
        <v>836</v>
      </c>
      <c r="V20" s="127" t="s">
        <v>836</v>
      </c>
      <c r="W20" s="126" t="s">
        <v>837</v>
      </c>
    </row>
    <row r="21" spans="2:24" ht="57.6" x14ac:dyDescent="0.3">
      <c r="C21" s="138" t="s">
        <v>520</v>
      </c>
      <c r="D21" s="139"/>
      <c r="E21" s="139"/>
      <c r="F21" s="139"/>
      <c r="G21" s="139"/>
      <c r="H21" s="139"/>
      <c r="I21" s="139"/>
      <c r="J21" s="139"/>
      <c r="K21" s="139"/>
      <c r="L21" s="139"/>
      <c r="M21" s="123" t="s">
        <v>337</v>
      </c>
      <c r="N21" s="123" t="s">
        <v>338</v>
      </c>
      <c r="P21" s="123">
        <v>6</v>
      </c>
      <c r="Q21" s="123" t="s">
        <v>838</v>
      </c>
      <c r="R21" s="127" t="s">
        <v>839</v>
      </c>
      <c r="S21" s="127" t="s">
        <v>839</v>
      </c>
      <c r="T21" s="127" t="s">
        <v>840</v>
      </c>
      <c r="U21" s="127" t="s">
        <v>841</v>
      </c>
      <c r="V21" s="127" t="s">
        <v>839</v>
      </c>
      <c r="W21" s="126" t="s">
        <v>842</v>
      </c>
    </row>
    <row r="22" spans="2:24" ht="57.6" x14ac:dyDescent="0.3">
      <c r="C22" s="275" t="s">
        <v>296</v>
      </c>
      <c r="D22" s="275"/>
      <c r="E22" s="275"/>
      <c r="F22" s="275"/>
      <c r="G22" s="275"/>
      <c r="H22" s="275" t="s">
        <v>515</v>
      </c>
      <c r="I22" s="275"/>
      <c r="J22" s="275"/>
      <c r="K22" s="275"/>
      <c r="L22" s="140"/>
      <c r="P22" s="123">
        <v>7</v>
      </c>
      <c r="Q22" s="123" t="s">
        <v>843</v>
      </c>
      <c r="R22" s="127" t="s">
        <v>844</v>
      </c>
      <c r="S22" s="127" t="s">
        <v>844</v>
      </c>
      <c r="T22" s="127" t="s">
        <v>844</v>
      </c>
      <c r="U22" s="127" t="s">
        <v>844</v>
      </c>
      <c r="V22" s="127" t="s">
        <v>844</v>
      </c>
      <c r="W22" s="126" t="s">
        <v>845</v>
      </c>
    </row>
    <row r="23" spans="2:24" x14ac:dyDescent="0.3">
      <c r="B23" s="125" t="s">
        <v>636</v>
      </c>
      <c r="C23" s="125" t="s">
        <v>637</v>
      </c>
      <c r="D23" s="125" t="s">
        <v>638</v>
      </c>
      <c r="E23" s="125"/>
      <c r="F23" s="125" t="s">
        <v>639</v>
      </c>
      <c r="G23" s="125" t="s">
        <v>640</v>
      </c>
      <c r="H23" s="125" t="s">
        <v>641</v>
      </c>
      <c r="I23" s="125" t="s">
        <v>642</v>
      </c>
      <c r="J23" s="125" t="s">
        <v>643</v>
      </c>
      <c r="K23" s="125" t="s">
        <v>644</v>
      </c>
    </row>
    <row r="24" spans="2:24" x14ac:dyDescent="0.3">
      <c r="B24" s="122" t="s">
        <v>273</v>
      </c>
      <c r="C24" s="104"/>
      <c r="D24" s="104"/>
      <c r="E24" s="104"/>
      <c r="F24" s="104"/>
      <c r="G24" s="104"/>
      <c r="H24" s="104"/>
      <c r="I24" s="104"/>
      <c r="J24" s="104"/>
      <c r="K24" s="104"/>
      <c r="M24" s="124" t="s">
        <v>298</v>
      </c>
    </row>
    <row r="25" spans="2:24" x14ac:dyDescent="0.3">
      <c r="B25" s="122" t="s">
        <v>317</v>
      </c>
      <c r="C25" s="123" t="s">
        <v>646</v>
      </c>
      <c r="D25" s="123" t="s">
        <v>646</v>
      </c>
      <c r="E25" s="123"/>
      <c r="F25" s="123" t="s">
        <v>646</v>
      </c>
      <c r="G25" s="123" t="s">
        <v>647</v>
      </c>
      <c r="H25" s="123" t="s">
        <v>647</v>
      </c>
      <c r="I25" s="123" t="s">
        <v>647</v>
      </c>
      <c r="J25" s="123" t="s">
        <v>648</v>
      </c>
      <c r="K25" s="123" t="s">
        <v>648</v>
      </c>
      <c r="M25" s="121" t="s">
        <v>309</v>
      </c>
      <c r="N25" s="121" t="s">
        <v>340</v>
      </c>
    </row>
    <row r="26" spans="2:24" x14ac:dyDescent="0.3">
      <c r="B26" s="122" t="s">
        <v>573</v>
      </c>
      <c r="C26" s="123" t="s">
        <v>649</v>
      </c>
      <c r="D26" s="123" t="s">
        <v>649</v>
      </c>
      <c r="E26" s="123"/>
      <c r="F26" s="123" t="s">
        <v>649</v>
      </c>
      <c r="G26" s="123" t="s">
        <v>649</v>
      </c>
      <c r="H26" s="123" t="s">
        <v>645</v>
      </c>
      <c r="I26" s="123" t="s">
        <v>645</v>
      </c>
      <c r="J26" s="123" t="s">
        <v>645</v>
      </c>
      <c r="K26" s="123" t="s">
        <v>650</v>
      </c>
      <c r="M26" s="122" t="s">
        <v>292</v>
      </c>
      <c r="N26" s="123" t="s">
        <v>341</v>
      </c>
    </row>
    <row r="27" spans="2:24" x14ac:dyDescent="0.3">
      <c r="B27" s="110" t="s">
        <v>595</v>
      </c>
      <c r="C27" s="141">
        <v>0.12</v>
      </c>
      <c r="D27" s="141">
        <v>0.12</v>
      </c>
      <c r="E27" s="141"/>
      <c r="F27" s="141">
        <v>0.12</v>
      </c>
      <c r="G27" s="141">
        <v>0.12</v>
      </c>
      <c r="H27" s="141">
        <v>0.14000000000000001</v>
      </c>
      <c r="I27" s="141">
        <v>0.15</v>
      </c>
      <c r="J27" s="141">
        <v>0.16</v>
      </c>
      <c r="K27" s="141">
        <v>0.17</v>
      </c>
      <c r="M27" s="122" t="s">
        <v>272</v>
      </c>
      <c r="N27" s="123" t="s">
        <v>342</v>
      </c>
    </row>
    <row r="28" spans="2:24" x14ac:dyDescent="0.3">
      <c r="B28" s="122" t="s">
        <v>662</v>
      </c>
      <c r="C28" s="104" t="s">
        <v>663</v>
      </c>
      <c r="D28" s="104" t="s">
        <v>663</v>
      </c>
      <c r="E28" s="104"/>
      <c r="F28" s="104" t="s">
        <v>663</v>
      </c>
      <c r="G28" s="104" t="s">
        <v>663</v>
      </c>
      <c r="H28" s="104" t="s">
        <v>663</v>
      </c>
      <c r="I28" s="104" t="s">
        <v>663</v>
      </c>
      <c r="J28" s="104" t="s">
        <v>663</v>
      </c>
      <c r="K28" s="104" t="s">
        <v>663</v>
      </c>
      <c r="M28" s="122" t="s">
        <v>313</v>
      </c>
      <c r="N28" s="123" t="s">
        <v>343</v>
      </c>
    </row>
    <row r="29" spans="2:24" ht="14.4" customHeight="1" x14ac:dyDescent="0.3">
      <c r="B29" s="277" t="s">
        <v>594</v>
      </c>
      <c r="C29" s="277"/>
      <c r="D29" s="277"/>
      <c r="E29" s="277"/>
      <c r="F29" s="277"/>
      <c r="G29" s="277"/>
      <c r="H29" s="277"/>
      <c r="I29" s="277"/>
      <c r="J29" s="277"/>
      <c r="K29" s="277"/>
      <c r="M29" s="122" t="s">
        <v>315</v>
      </c>
      <c r="N29" s="123" t="s">
        <v>344</v>
      </c>
    </row>
    <row r="30" spans="2:24" x14ac:dyDescent="0.3">
      <c r="B30" s="277"/>
      <c r="C30" s="277"/>
      <c r="D30" s="277"/>
      <c r="E30" s="277"/>
      <c r="F30" s="277"/>
      <c r="G30" s="277"/>
      <c r="H30" s="277"/>
      <c r="I30" s="277"/>
      <c r="J30" s="277"/>
      <c r="K30" s="277"/>
      <c r="M30" s="122" t="s">
        <v>317</v>
      </c>
      <c r="N30" s="123" t="s">
        <v>345</v>
      </c>
    </row>
    <row r="31" spans="2:24" x14ac:dyDescent="0.3">
      <c r="B31" s="277"/>
      <c r="C31" s="277"/>
      <c r="D31" s="277"/>
      <c r="E31" s="277"/>
      <c r="F31" s="277"/>
      <c r="G31" s="277"/>
      <c r="H31" s="277"/>
      <c r="I31" s="277"/>
      <c r="J31" s="277"/>
      <c r="K31" s="277"/>
      <c r="M31" s="122" t="s">
        <v>319</v>
      </c>
      <c r="N31" s="123" t="s">
        <v>346</v>
      </c>
    </row>
    <row r="32" spans="2:24" x14ac:dyDescent="0.3">
      <c r="M32" s="122" t="s">
        <v>347</v>
      </c>
      <c r="N32" s="123" t="s">
        <v>348</v>
      </c>
    </row>
    <row r="33" spans="2:14" x14ac:dyDescent="0.3">
      <c r="M33" s="122" t="s">
        <v>321</v>
      </c>
      <c r="N33" s="123" t="s">
        <v>349</v>
      </c>
    </row>
    <row r="34" spans="2:14" x14ac:dyDescent="0.3">
      <c r="M34" s="122" t="s">
        <v>303</v>
      </c>
      <c r="N34" s="123" t="s">
        <v>350</v>
      </c>
    </row>
    <row r="35" spans="2:14" x14ac:dyDescent="0.3">
      <c r="B35" s="1" t="s">
        <v>969</v>
      </c>
      <c r="E35" s="1" t="s">
        <v>652</v>
      </c>
      <c r="M35" s="122" t="s">
        <v>351</v>
      </c>
      <c r="N35" s="123" t="s">
        <v>352</v>
      </c>
    </row>
    <row r="36" spans="2:14" x14ac:dyDescent="0.3">
      <c r="H36" t="s">
        <v>1007</v>
      </c>
      <c r="M36" s="122" t="s">
        <v>353</v>
      </c>
      <c r="N36" s="123" t="s">
        <v>354</v>
      </c>
    </row>
    <row r="37" spans="2:14" x14ac:dyDescent="0.3">
      <c r="M37" s="122" t="s">
        <v>355</v>
      </c>
      <c r="N37" s="123" t="s">
        <v>356</v>
      </c>
    </row>
    <row r="38" spans="2:14" x14ac:dyDescent="0.3">
      <c r="M38" s="122" t="s">
        <v>306</v>
      </c>
      <c r="N38" s="123" t="s">
        <v>357</v>
      </c>
    </row>
    <row r="39" spans="2:14" x14ac:dyDescent="0.3">
      <c r="M39" s="122" t="s">
        <v>326</v>
      </c>
      <c r="N39" s="123" t="s">
        <v>358</v>
      </c>
    </row>
    <row r="40" spans="2:14" x14ac:dyDescent="0.3">
      <c r="M40" s="122" t="s">
        <v>328</v>
      </c>
      <c r="N40" s="123" t="s">
        <v>359</v>
      </c>
    </row>
    <row r="41" spans="2:14" x14ac:dyDescent="0.3">
      <c r="H41" s="13" t="s">
        <v>1008</v>
      </c>
      <c r="M41" s="122" t="s">
        <v>330</v>
      </c>
      <c r="N41" s="123" t="s">
        <v>360</v>
      </c>
    </row>
    <row r="42" spans="2:14" x14ac:dyDescent="0.3">
      <c r="M42" s="122" t="s">
        <v>361</v>
      </c>
      <c r="N42" s="123" t="s">
        <v>362</v>
      </c>
    </row>
    <row r="43" spans="2:14" x14ac:dyDescent="0.3">
      <c r="B43" t="s">
        <v>970</v>
      </c>
      <c r="M43" s="122" t="s">
        <v>273</v>
      </c>
      <c r="N43" s="123" t="s">
        <v>363</v>
      </c>
    </row>
    <row r="44" spans="2:14" x14ac:dyDescent="0.3">
      <c r="M44" s="122" t="s">
        <v>333</v>
      </c>
      <c r="N44" s="123" t="s">
        <v>364</v>
      </c>
    </row>
    <row r="45" spans="2:14" x14ac:dyDescent="0.3">
      <c r="M45" s="122" t="s">
        <v>117</v>
      </c>
      <c r="N45" s="123" t="s">
        <v>365</v>
      </c>
    </row>
    <row r="46" spans="2:14" x14ac:dyDescent="0.3">
      <c r="M46" s="122" t="s">
        <v>284</v>
      </c>
      <c r="N46" s="123" t="s">
        <v>366</v>
      </c>
    </row>
    <row r="47" spans="2:14" x14ac:dyDescent="0.3">
      <c r="M47" s="122" t="s">
        <v>337</v>
      </c>
      <c r="N47" s="123" t="s">
        <v>367</v>
      </c>
    </row>
    <row r="48" spans="2:14" x14ac:dyDescent="0.3">
      <c r="E48" s="244" t="s">
        <v>656</v>
      </c>
      <c r="F48" s="134"/>
      <c r="M48" s="122" t="s">
        <v>368</v>
      </c>
      <c r="N48" s="123" t="s">
        <v>369</v>
      </c>
    </row>
    <row r="49" spans="2:14" x14ac:dyDescent="0.3">
      <c r="E49" s="142" t="s">
        <v>653</v>
      </c>
      <c r="F49" s="245" t="s">
        <v>654</v>
      </c>
      <c r="M49" s="122" t="s">
        <v>370</v>
      </c>
      <c r="N49" s="123" t="s">
        <v>371</v>
      </c>
    </row>
    <row r="51" spans="2:14" x14ac:dyDescent="0.3">
      <c r="B51" s="1" t="s">
        <v>655</v>
      </c>
      <c r="M51" s="124" t="s">
        <v>299</v>
      </c>
    </row>
    <row r="52" spans="2:14" x14ac:dyDescent="0.3">
      <c r="H52" s="1" t="s">
        <v>658</v>
      </c>
      <c r="M52" s="125" t="s">
        <v>309</v>
      </c>
      <c r="N52" s="125" t="s">
        <v>373</v>
      </c>
    </row>
    <row r="53" spans="2:14" x14ac:dyDescent="0.3">
      <c r="H53" s="278" t="s">
        <v>659</v>
      </c>
      <c r="I53" s="278"/>
      <c r="J53" s="278"/>
      <c r="K53" s="278"/>
      <c r="M53" s="126" t="s">
        <v>292</v>
      </c>
      <c r="N53" s="127" t="s">
        <v>374</v>
      </c>
    </row>
    <row r="54" spans="2:14" ht="28.8" x14ac:dyDescent="0.3">
      <c r="E54" s="110" t="s">
        <v>971</v>
      </c>
      <c r="H54" s="278"/>
      <c r="I54" s="278"/>
      <c r="J54" s="278"/>
      <c r="K54" s="278"/>
      <c r="M54" s="126" t="s">
        <v>375</v>
      </c>
      <c r="N54" s="127" t="s">
        <v>376</v>
      </c>
    </row>
    <row r="55" spans="2:14" x14ac:dyDescent="0.3">
      <c r="E55" s="110" t="s">
        <v>972</v>
      </c>
      <c r="H55" s="13" t="s">
        <v>660</v>
      </c>
      <c r="M55" s="126" t="s">
        <v>272</v>
      </c>
      <c r="N55" s="127" t="s">
        <v>377</v>
      </c>
    </row>
    <row r="56" spans="2:14" x14ac:dyDescent="0.3">
      <c r="E56" s="110" t="s">
        <v>973</v>
      </c>
      <c r="M56" s="126" t="s">
        <v>313</v>
      </c>
      <c r="N56" s="127" t="s">
        <v>378</v>
      </c>
    </row>
    <row r="57" spans="2:14" x14ac:dyDescent="0.3">
      <c r="E57" s="1" t="s">
        <v>974</v>
      </c>
      <c r="H57" s="1" t="s">
        <v>664</v>
      </c>
      <c r="M57" s="126" t="s">
        <v>315</v>
      </c>
      <c r="N57" s="127" t="s">
        <v>379</v>
      </c>
    </row>
    <row r="58" spans="2:14" ht="28.8" x14ac:dyDescent="0.3">
      <c r="M58" s="126" t="s">
        <v>380</v>
      </c>
      <c r="N58" s="127" t="s">
        <v>381</v>
      </c>
    </row>
    <row r="59" spans="2:14" x14ac:dyDescent="0.3">
      <c r="M59" s="126" t="s">
        <v>319</v>
      </c>
      <c r="N59" s="127" t="s">
        <v>382</v>
      </c>
    </row>
    <row r="60" spans="2:14" x14ac:dyDescent="0.3">
      <c r="M60" s="126" t="s">
        <v>347</v>
      </c>
      <c r="N60" s="127" t="s">
        <v>383</v>
      </c>
    </row>
    <row r="61" spans="2:14" ht="28.8" x14ac:dyDescent="0.3">
      <c r="B61" s="13" t="s">
        <v>657</v>
      </c>
      <c r="M61" s="126" t="s">
        <v>384</v>
      </c>
      <c r="N61" s="127" t="s">
        <v>385</v>
      </c>
    </row>
    <row r="62" spans="2:14" x14ac:dyDescent="0.3">
      <c r="M62" s="126" t="s">
        <v>386</v>
      </c>
      <c r="N62" s="127" t="s">
        <v>387</v>
      </c>
    </row>
    <row r="63" spans="2:14" ht="28.8" x14ac:dyDescent="0.3">
      <c r="M63" s="126" t="s">
        <v>388</v>
      </c>
      <c r="N63" s="127" t="s">
        <v>389</v>
      </c>
    </row>
    <row r="64" spans="2:14" x14ac:dyDescent="0.3">
      <c r="B64" t="s">
        <v>686</v>
      </c>
      <c r="M64" s="126" t="s">
        <v>355</v>
      </c>
      <c r="N64" s="127" t="s">
        <v>390</v>
      </c>
    </row>
    <row r="65" spans="2:14" x14ac:dyDescent="0.3">
      <c r="H65" s="13" t="s">
        <v>665</v>
      </c>
      <c r="M65" s="126" t="s">
        <v>321</v>
      </c>
      <c r="N65" s="127" t="s">
        <v>391</v>
      </c>
    </row>
    <row r="66" spans="2:14" x14ac:dyDescent="0.3">
      <c r="M66" s="126" t="s">
        <v>392</v>
      </c>
      <c r="N66" s="127" t="s">
        <v>393</v>
      </c>
    </row>
    <row r="67" spans="2:14" x14ac:dyDescent="0.3">
      <c r="M67" s="126" t="s">
        <v>328</v>
      </c>
      <c r="N67" s="127" t="s">
        <v>394</v>
      </c>
    </row>
    <row r="68" spans="2:14" x14ac:dyDescent="0.3">
      <c r="M68" s="126" t="s">
        <v>330</v>
      </c>
      <c r="N68" s="127" t="s">
        <v>395</v>
      </c>
    </row>
    <row r="69" spans="2:14" ht="28.8" x14ac:dyDescent="0.3">
      <c r="M69" s="126" t="s">
        <v>396</v>
      </c>
      <c r="N69" s="127" t="s">
        <v>397</v>
      </c>
    </row>
    <row r="70" spans="2:14" x14ac:dyDescent="0.3">
      <c r="M70" s="126" t="s">
        <v>361</v>
      </c>
      <c r="N70" s="127" t="s">
        <v>398</v>
      </c>
    </row>
    <row r="71" spans="2:14" x14ac:dyDescent="0.3">
      <c r="M71" s="126" t="s">
        <v>273</v>
      </c>
      <c r="N71" s="127" t="s">
        <v>399</v>
      </c>
    </row>
    <row r="72" spans="2:14" x14ac:dyDescent="0.3">
      <c r="M72" s="126" t="s">
        <v>333</v>
      </c>
      <c r="N72" s="127" t="s">
        <v>400</v>
      </c>
    </row>
    <row r="73" spans="2:14" ht="28.8" x14ac:dyDescent="0.3">
      <c r="M73" s="126" t="s">
        <v>401</v>
      </c>
      <c r="N73" s="127" t="s">
        <v>402</v>
      </c>
    </row>
    <row r="74" spans="2:14" x14ac:dyDescent="0.3">
      <c r="B74" s="13" t="s">
        <v>688</v>
      </c>
      <c r="M74" s="126" t="s">
        <v>284</v>
      </c>
      <c r="N74" s="127" t="s">
        <v>403</v>
      </c>
    </row>
    <row r="75" spans="2:14" x14ac:dyDescent="0.3">
      <c r="B75" s="110" t="s">
        <v>687</v>
      </c>
      <c r="C75" s="240">
        <f>(8.5/6.9)^(1/5)-1</f>
        <v>4.2590988875023772E-2</v>
      </c>
      <c r="M75" s="126" t="s">
        <v>337</v>
      </c>
      <c r="N75" s="127" t="s">
        <v>404</v>
      </c>
    </row>
    <row r="76" spans="2:14" x14ac:dyDescent="0.3">
      <c r="M76" s="126" t="s">
        <v>368</v>
      </c>
      <c r="N76" s="127" t="s">
        <v>405</v>
      </c>
    </row>
    <row r="77" spans="2:14" ht="28.8" x14ac:dyDescent="0.3">
      <c r="M77" s="126" t="s">
        <v>406</v>
      </c>
      <c r="N77" s="127" t="s">
        <v>407</v>
      </c>
    </row>
    <row r="78" spans="2:14" x14ac:dyDescent="0.3">
      <c r="I78" s="1"/>
    </row>
    <row r="79" spans="2:14" ht="57.6" x14ac:dyDescent="0.3">
      <c r="M79" s="126" t="s">
        <v>512</v>
      </c>
      <c r="N79" s="132" t="s">
        <v>511</v>
      </c>
    </row>
    <row r="80" spans="2:14" x14ac:dyDescent="0.3">
      <c r="B80" s="1" t="s">
        <v>477</v>
      </c>
    </row>
    <row r="81" spans="2:14" ht="72" x14ac:dyDescent="0.3">
      <c r="B81" s="134" t="s">
        <v>478</v>
      </c>
      <c r="C81" s="276" t="s">
        <v>482</v>
      </c>
      <c r="D81" s="276" t="s">
        <v>483</v>
      </c>
      <c r="E81" s="128"/>
      <c r="F81" s="276" t="s">
        <v>490</v>
      </c>
      <c r="M81" s="126" t="s">
        <v>514</v>
      </c>
      <c r="N81" s="132" t="s">
        <v>513</v>
      </c>
    </row>
    <row r="82" spans="2:14" x14ac:dyDescent="0.3">
      <c r="B82" s="134" t="s">
        <v>479</v>
      </c>
      <c r="C82" s="276"/>
      <c r="D82" s="276"/>
      <c r="E82" s="128"/>
      <c r="F82" s="276"/>
    </row>
    <row r="83" spans="2:14" x14ac:dyDescent="0.3">
      <c r="B83" s="134" t="s">
        <v>480</v>
      </c>
      <c r="C83" s="276"/>
      <c r="D83" s="276"/>
      <c r="E83" s="128"/>
      <c r="F83" s="276"/>
      <c r="M83" s="125" t="s">
        <v>435</v>
      </c>
      <c r="N83" s="125" t="s">
        <v>436</v>
      </c>
    </row>
    <row r="84" spans="2:14" x14ac:dyDescent="0.3">
      <c r="B84" s="134" t="s">
        <v>481</v>
      </c>
      <c r="C84" s="276"/>
      <c r="D84" s="134"/>
      <c r="E84" s="134"/>
      <c r="F84" s="128"/>
      <c r="M84" s="126" t="s">
        <v>437</v>
      </c>
      <c r="N84" s="127" t="s">
        <v>438</v>
      </c>
    </row>
    <row r="85" spans="2:14" ht="28.8" x14ac:dyDescent="0.3">
      <c r="M85" s="126" t="s">
        <v>384</v>
      </c>
      <c r="N85" s="127" t="s">
        <v>439</v>
      </c>
    </row>
    <row r="86" spans="2:14" x14ac:dyDescent="0.3">
      <c r="B86" s="1" t="s">
        <v>484</v>
      </c>
      <c r="M86" s="126" t="s">
        <v>386</v>
      </c>
      <c r="N86" s="127" t="s">
        <v>440</v>
      </c>
    </row>
    <row r="87" spans="2:14" ht="28.8" x14ac:dyDescent="0.3">
      <c r="B87" t="s">
        <v>485</v>
      </c>
      <c r="C87" s="276" t="s">
        <v>489</v>
      </c>
      <c r="D87" s="276" t="s">
        <v>488</v>
      </c>
      <c r="E87" s="128"/>
      <c r="F87" s="276" t="s">
        <v>491</v>
      </c>
      <c r="M87" s="126" t="s">
        <v>441</v>
      </c>
      <c r="N87" s="127" t="s">
        <v>442</v>
      </c>
    </row>
    <row r="88" spans="2:14" x14ac:dyDescent="0.3">
      <c r="B88" t="s">
        <v>486</v>
      </c>
      <c r="C88" s="276"/>
      <c r="D88" s="276"/>
      <c r="E88" s="128"/>
      <c r="F88" s="276"/>
      <c r="M88" s="126" t="s">
        <v>355</v>
      </c>
      <c r="N88" s="127" t="s">
        <v>443</v>
      </c>
    </row>
    <row r="89" spans="2:14" x14ac:dyDescent="0.3">
      <c r="B89" t="s">
        <v>487</v>
      </c>
      <c r="C89" s="276"/>
      <c r="D89" s="276"/>
      <c r="E89" s="128"/>
      <c r="F89" s="276"/>
      <c r="M89" s="126" t="s">
        <v>444</v>
      </c>
      <c r="N89" s="127" t="s">
        <v>445</v>
      </c>
    </row>
    <row r="90" spans="2:14" x14ac:dyDescent="0.3">
      <c r="M90" s="126" t="s">
        <v>321</v>
      </c>
      <c r="N90" s="127" t="s">
        <v>446</v>
      </c>
    </row>
    <row r="91" spans="2:14" ht="28.8" x14ac:dyDescent="0.3">
      <c r="M91" s="126" t="s">
        <v>447</v>
      </c>
      <c r="N91" s="127" t="s">
        <v>448</v>
      </c>
    </row>
    <row r="92" spans="2:14" x14ac:dyDescent="0.3">
      <c r="B92" s="121" t="s">
        <v>492</v>
      </c>
      <c r="C92" s="121" t="s">
        <v>508</v>
      </c>
      <c r="M92" s="126" t="s">
        <v>449</v>
      </c>
      <c r="N92" s="127" t="s">
        <v>450</v>
      </c>
    </row>
    <row r="93" spans="2:14" ht="28.8" x14ac:dyDescent="0.3">
      <c r="B93" s="122" t="s">
        <v>493</v>
      </c>
      <c r="C93" s="129" t="s">
        <v>494</v>
      </c>
      <c r="D93" s="130" t="s">
        <v>509</v>
      </c>
      <c r="E93" s="64"/>
      <c r="G93" s="1" t="s">
        <v>510</v>
      </c>
      <c r="M93" s="126" t="s">
        <v>451</v>
      </c>
      <c r="N93" s="127" t="s">
        <v>452</v>
      </c>
    </row>
    <row r="94" spans="2:14" ht="28.8" x14ac:dyDescent="0.3">
      <c r="B94" s="122" t="s">
        <v>495</v>
      </c>
      <c r="C94" s="129" t="s">
        <v>496</v>
      </c>
      <c r="D94" s="130" t="s">
        <v>509</v>
      </c>
      <c r="E94" s="64"/>
      <c r="G94" t="s">
        <v>296</v>
      </c>
      <c r="M94" s="126" t="s">
        <v>453</v>
      </c>
      <c r="N94" s="127" t="s">
        <v>454</v>
      </c>
    </row>
    <row r="95" spans="2:14" x14ac:dyDescent="0.3">
      <c r="B95" s="122" t="s">
        <v>330</v>
      </c>
      <c r="C95" s="129" t="s">
        <v>497</v>
      </c>
      <c r="D95" s="110"/>
      <c r="E95" s="1"/>
      <c r="G95" s="110" t="s">
        <v>297</v>
      </c>
      <c r="H95" s="131">
        <v>84</v>
      </c>
      <c r="M95" s="126" t="s">
        <v>328</v>
      </c>
      <c r="N95" s="127" t="s">
        <v>455</v>
      </c>
    </row>
    <row r="96" spans="2:14" x14ac:dyDescent="0.3">
      <c r="B96" s="122" t="s">
        <v>498</v>
      </c>
      <c r="C96" s="129" t="s">
        <v>499</v>
      </c>
      <c r="D96" s="110"/>
      <c r="E96" s="1"/>
      <c r="G96" s="110" t="s">
        <v>298</v>
      </c>
      <c r="H96" s="131">
        <v>80</v>
      </c>
      <c r="M96" s="126" t="s">
        <v>330</v>
      </c>
      <c r="N96" s="127" t="s">
        <v>456</v>
      </c>
    </row>
    <row r="97" spans="2:14" x14ac:dyDescent="0.3">
      <c r="B97" s="122" t="s">
        <v>500</v>
      </c>
      <c r="C97" s="129" t="s">
        <v>501</v>
      </c>
      <c r="D97" s="130" t="s">
        <v>509</v>
      </c>
      <c r="E97" s="64"/>
      <c r="G97" s="110" t="s">
        <v>299</v>
      </c>
      <c r="H97" s="131">
        <v>73</v>
      </c>
      <c r="M97" s="126" t="s">
        <v>457</v>
      </c>
      <c r="N97" s="127" t="s">
        <v>458</v>
      </c>
    </row>
    <row r="98" spans="2:14" x14ac:dyDescent="0.3">
      <c r="B98" s="122" t="s">
        <v>502</v>
      </c>
      <c r="C98" s="129" t="s">
        <v>501</v>
      </c>
      <c r="D98" s="110"/>
      <c r="E98" s="1"/>
      <c r="G98" s="110" t="s">
        <v>300</v>
      </c>
      <c r="H98" s="131">
        <v>75</v>
      </c>
      <c r="M98" s="126" t="s">
        <v>459</v>
      </c>
      <c r="N98" s="127" t="s">
        <v>460</v>
      </c>
    </row>
    <row r="99" spans="2:14" x14ac:dyDescent="0.3">
      <c r="B99" s="122" t="s">
        <v>503</v>
      </c>
      <c r="C99" s="129" t="s">
        <v>504</v>
      </c>
      <c r="D99" s="130" t="s">
        <v>509</v>
      </c>
      <c r="E99" s="64"/>
      <c r="M99" s="126" t="s">
        <v>461</v>
      </c>
      <c r="N99" s="127" t="s">
        <v>462</v>
      </c>
    </row>
    <row r="100" spans="2:14" x14ac:dyDescent="0.3">
      <c r="B100" s="122" t="s">
        <v>392</v>
      </c>
      <c r="C100" s="129" t="s">
        <v>505</v>
      </c>
      <c r="D100" s="110"/>
      <c r="E100" s="1"/>
    </row>
    <row r="101" spans="2:14" x14ac:dyDescent="0.3">
      <c r="B101" s="122" t="s">
        <v>506</v>
      </c>
      <c r="C101" s="129" t="s">
        <v>507</v>
      </c>
      <c r="D101" s="130" t="s">
        <v>509</v>
      </c>
      <c r="E101" s="64"/>
    </row>
    <row r="102" spans="2:14" x14ac:dyDescent="0.3">
      <c r="M102" s="110" t="s">
        <v>296</v>
      </c>
      <c r="N102" s="104"/>
    </row>
    <row r="103" spans="2:14" x14ac:dyDescent="0.3">
      <c r="M103" s="125" t="s">
        <v>413</v>
      </c>
      <c r="N103" s="125" t="s">
        <v>414</v>
      </c>
    </row>
    <row r="104" spans="2:14" ht="28.8" x14ac:dyDescent="0.3">
      <c r="B104" s="104"/>
      <c r="C104" s="273" t="s">
        <v>296</v>
      </c>
      <c r="D104" s="273"/>
      <c r="E104" s="273"/>
      <c r="F104" s="273"/>
      <c r="G104" s="273"/>
      <c r="H104" s="273" t="s">
        <v>515</v>
      </c>
      <c r="I104" s="273"/>
      <c r="J104" s="273"/>
      <c r="K104" s="273"/>
      <c r="M104" s="126" t="s">
        <v>415</v>
      </c>
      <c r="N104" s="127" t="s">
        <v>416</v>
      </c>
    </row>
    <row r="105" spans="2:14" ht="28.8" x14ac:dyDescent="0.3">
      <c r="B105" s="121" t="s">
        <v>679</v>
      </c>
      <c r="C105" s="166">
        <v>1</v>
      </c>
      <c r="D105" s="166">
        <f>C105+1</f>
        <v>2</v>
      </c>
      <c r="E105" s="166"/>
      <c r="F105" s="166">
        <f>D105+1</f>
        <v>3</v>
      </c>
      <c r="G105" s="166">
        <f t="shared" ref="G105" si="0">F105+1</f>
        <v>4</v>
      </c>
      <c r="H105" s="166">
        <v>1</v>
      </c>
      <c r="I105" s="166">
        <f>H105+1</f>
        <v>2</v>
      </c>
      <c r="J105" s="166">
        <f t="shared" ref="J105:K105" si="1">I105+1</f>
        <v>3</v>
      </c>
      <c r="K105" s="166">
        <f t="shared" si="1"/>
        <v>4</v>
      </c>
      <c r="M105" s="126" t="s">
        <v>417</v>
      </c>
      <c r="N105" s="127" t="s">
        <v>418</v>
      </c>
    </row>
    <row r="106" spans="2:14" ht="28.8" x14ac:dyDescent="0.3">
      <c r="B106" s="110" t="s">
        <v>675</v>
      </c>
      <c r="C106" s="163">
        <f>7853-C109-C111-C113-C115-C117-C120-C121</f>
        <v>6129</v>
      </c>
      <c r="D106" s="104">
        <f>8003-SUM(D109,D111,D113,D115,D117,D120,D121)</f>
        <v>6213</v>
      </c>
      <c r="E106" s="104"/>
      <c r="F106" s="104">
        <f>8522-SUM(F109,F111,F113,F115,F117,F120:F121)</f>
        <v>6578</v>
      </c>
      <c r="G106" s="104">
        <f>8330-SUM(G109,G111,G113,G115,G117,G120:G121)</f>
        <v>6485</v>
      </c>
      <c r="H106" s="104">
        <f>H123-SUM(H109,H111,H113,H115,H117,H120:H121)</f>
        <v>7084</v>
      </c>
      <c r="I106" s="104">
        <f>I123-SUM(I109,I111,I113,I115,I117,I120:I121)</f>
        <v>6557</v>
      </c>
      <c r="J106" s="104">
        <f>J123-SUM(J109,J111,J113,J115,J117,J120:J121)</f>
        <v>6695</v>
      </c>
      <c r="K106" s="104">
        <f>K123-SUM(K109,K111,K113,K115,K117,K120:K121)</f>
        <v>7118</v>
      </c>
      <c r="M106" s="126" t="s">
        <v>419</v>
      </c>
      <c r="N106" s="127" t="s">
        <v>420</v>
      </c>
    </row>
    <row r="107" spans="2:14" x14ac:dyDescent="0.3">
      <c r="B107" s="167" t="s">
        <v>681</v>
      </c>
      <c r="C107" s="141">
        <v>-0.02</v>
      </c>
      <c r="D107" s="104"/>
      <c r="E107" s="104"/>
      <c r="F107" s="104"/>
      <c r="G107" s="104"/>
      <c r="H107" s="120">
        <f>H106/C106-1</f>
        <v>0.15581660956110288</v>
      </c>
      <c r="I107" s="120">
        <f>I106/D106-1</f>
        <v>5.5367777241268401E-2</v>
      </c>
      <c r="J107" s="120">
        <f t="shared" ref="J107:K107" si="2">J106/F106-1</f>
        <v>1.7786561264822032E-2</v>
      </c>
      <c r="K107" s="120">
        <f t="shared" si="2"/>
        <v>9.760986892829604E-2</v>
      </c>
      <c r="M107" s="126" t="s">
        <v>421</v>
      </c>
      <c r="N107" s="127" t="s">
        <v>422</v>
      </c>
    </row>
    <row r="108" spans="2:14" ht="29.4" customHeight="1" x14ac:dyDescent="0.3">
      <c r="B108" s="110" t="s">
        <v>392</v>
      </c>
      <c r="C108" s="104"/>
      <c r="D108" s="104"/>
      <c r="E108" s="104"/>
      <c r="F108" s="104"/>
      <c r="G108" s="104"/>
      <c r="H108" s="104"/>
      <c r="I108" s="104"/>
      <c r="J108" s="104"/>
      <c r="K108" s="104"/>
      <c r="M108" s="126" t="s">
        <v>423</v>
      </c>
      <c r="N108" s="127" t="s">
        <v>424</v>
      </c>
    </row>
    <row r="109" spans="2:14" x14ac:dyDescent="0.3">
      <c r="B109" s="168" t="s">
        <v>676</v>
      </c>
      <c r="C109" s="104">
        <v>100</v>
      </c>
      <c r="D109" s="104">
        <v>105</v>
      </c>
      <c r="E109" s="104"/>
      <c r="F109" s="104">
        <v>103</v>
      </c>
      <c r="G109" s="104">
        <v>85</v>
      </c>
      <c r="H109" s="104">
        <v>98</v>
      </c>
      <c r="I109" s="104">
        <v>98</v>
      </c>
      <c r="J109" s="104">
        <v>105</v>
      </c>
      <c r="K109" s="104">
        <v>99</v>
      </c>
      <c r="M109" s="126"/>
      <c r="N109" s="127"/>
    </row>
    <row r="110" spans="2:14" ht="28.8" x14ac:dyDescent="0.3">
      <c r="B110" s="169" t="s">
        <v>678</v>
      </c>
      <c r="C110" s="141">
        <v>0.05</v>
      </c>
      <c r="D110" s="141">
        <v>0.09</v>
      </c>
      <c r="E110" s="141"/>
      <c r="F110" s="141">
        <v>0.03</v>
      </c>
      <c r="G110" s="141">
        <v>-0.16</v>
      </c>
      <c r="H110" s="141">
        <v>-0.02</v>
      </c>
      <c r="I110" s="141">
        <v>-7.0000000000000007E-2</v>
      </c>
      <c r="J110" s="141">
        <v>0.03</v>
      </c>
      <c r="K110" s="141">
        <v>0.17</v>
      </c>
      <c r="M110" s="126" t="s">
        <v>425</v>
      </c>
      <c r="N110" s="127" t="s">
        <v>426</v>
      </c>
    </row>
    <row r="111" spans="2:14" x14ac:dyDescent="0.3">
      <c r="B111" s="168" t="s">
        <v>677</v>
      </c>
      <c r="C111" s="104">
        <v>93</v>
      </c>
      <c r="D111" s="104">
        <v>83</v>
      </c>
      <c r="E111" s="104"/>
      <c r="F111" s="104">
        <v>88</v>
      </c>
      <c r="G111" s="104">
        <v>92</v>
      </c>
      <c r="H111" s="104">
        <v>89</v>
      </c>
      <c r="I111" s="104">
        <v>79</v>
      </c>
      <c r="J111" s="104">
        <v>84</v>
      </c>
      <c r="K111" s="104">
        <v>95</v>
      </c>
      <c r="M111" s="126" t="s">
        <v>427</v>
      </c>
      <c r="N111" s="127" t="s">
        <v>428</v>
      </c>
    </row>
    <row r="112" spans="2:14" ht="28.8" x14ac:dyDescent="0.3">
      <c r="B112" s="169" t="s">
        <v>678</v>
      </c>
      <c r="C112" s="141">
        <v>0.1</v>
      </c>
      <c r="D112" s="141">
        <v>0.02</v>
      </c>
      <c r="E112" s="141"/>
      <c r="F112" s="141">
        <v>0.03</v>
      </c>
      <c r="G112" s="141">
        <v>0.04</v>
      </c>
      <c r="H112" s="141">
        <v>-0.05</v>
      </c>
      <c r="I112" s="141">
        <v>-0.05</v>
      </c>
      <c r="J112" s="141">
        <v>-0.04</v>
      </c>
      <c r="K112" s="141">
        <v>0.04</v>
      </c>
      <c r="M112" s="126" t="s">
        <v>429</v>
      </c>
      <c r="N112" s="127" t="s">
        <v>430</v>
      </c>
    </row>
    <row r="113" spans="2:14" x14ac:dyDescent="0.3">
      <c r="B113" s="168" t="s">
        <v>685</v>
      </c>
      <c r="C113" s="104">
        <v>30</v>
      </c>
      <c r="D113" s="104">
        <v>31</v>
      </c>
      <c r="E113" s="104"/>
      <c r="F113" s="104">
        <v>26</v>
      </c>
      <c r="G113" s="104">
        <v>20</v>
      </c>
      <c r="H113" s="104">
        <v>20</v>
      </c>
      <c r="I113" s="104">
        <v>26</v>
      </c>
      <c r="J113" s="104">
        <v>29</v>
      </c>
      <c r="K113" s="104">
        <v>23</v>
      </c>
      <c r="M113" s="126" t="s">
        <v>431</v>
      </c>
      <c r="N113" s="127" t="s">
        <v>432</v>
      </c>
    </row>
    <row r="114" spans="2:14" ht="28.8" x14ac:dyDescent="0.3">
      <c r="B114" s="169" t="s">
        <v>681</v>
      </c>
      <c r="C114" s="141">
        <v>0.14000000000000001</v>
      </c>
      <c r="D114" s="141">
        <v>0.19</v>
      </c>
      <c r="E114" s="141"/>
      <c r="F114" s="141">
        <v>-0.23</v>
      </c>
      <c r="G114" s="141">
        <v>-0.2</v>
      </c>
      <c r="H114" s="141">
        <v>-0.32</v>
      </c>
      <c r="I114" s="141">
        <v>-0.15</v>
      </c>
      <c r="J114" s="141">
        <v>0.12</v>
      </c>
      <c r="K114" s="141">
        <v>0.17</v>
      </c>
      <c r="M114" s="126" t="s">
        <v>433</v>
      </c>
      <c r="N114" s="127" t="s">
        <v>434</v>
      </c>
    </row>
    <row r="115" spans="2:14" x14ac:dyDescent="0.3">
      <c r="B115" s="168" t="s">
        <v>542</v>
      </c>
      <c r="C115" s="104">
        <v>12</v>
      </c>
      <c r="D115" s="104">
        <v>13</v>
      </c>
      <c r="E115" s="104"/>
      <c r="F115" s="104">
        <v>12</v>
      </c>
      <c r="G115" s="104">
        <v>16</v>
      </c>
      <c r="H115" s="104">
        <v>15</v>
      </c>
      <c r="I115" s="104">
        <v>21</v>
      </c>
      <c r="J115" s="163">
        <v>19</v>
      </c>
      <c r="K115" s="104">
        <v>20</v>
      </c>
      <c r="M115" s="104"/>
      <c r="N115" s="104"/>
    </row>
    <row r="116" spans="2:14" x14ac:dyDescent="0.3">
      <c r="B116" s="169" t="s">
        <v>681</v>
      </c>
      <c r="C116" s="141">
        <v>0.18</v>
      </c>
      <c r="D116" s="141">
        <v>0.05</v>
      </c>
      <c r="E116" s="141"/>
      <c r="F116" s="141">
        <v>0.01</v>
      </c>
      <c r="G116" s="141">
        <v>0.02</v>
      </c>
      <c r="H116" s="141">
        <v>0.32</v>
      </c>
      <c r="I116" s="141">
        <v>0.56999999999999995</v>
      </c>
      <c r="J116" s="141">
        <v>0.59</v>
      </c>
      <c r="K116" s="141">
        <v>0.25</v>
      </c>
    </row>
    <row r="117" spans="2:14" x14ac:dyDescent="0.3">
      <c r="B117" s="110" t="s">
        <v>680</v>
      </c>
      <c r="C117" s="104">
        <v>679</v>
      </c>
      <c r="D117" s="104">
        <v>769</v>
      </c>
      <c r="E117" s="104"/>
      <c r="F117" s="104">
        <v>818</v>
      </c>
      <c r="G117" s="104">
        <v>800</v>
      </c>
      <c r="H117" s="104">
        <v>736</v>
      </c>
      <c r="I117" s="104">
        <v>846</v>
      </c>
      <c r="J117" s="104">
        <v>870</v>
      </c>
      <c r="K117" s="104">
        <v>888</v>
      </c>
      <c r="N117" s="133" t="s">
        <v>515</v>
      </c>
    </row>
    <row r="118" spans="2:14" x14ac:dyDescent="0.3">
      <c r="B118" s="104" t="s">
        <v>681</v>
      </c>
      <c r="C118" s="141">
        <v>-0.02</v>
      </c>
      <c r="D118" s="141">
        <v>0</v>
      </c>
      <c r="E118" s="141"/>
      <c r="F118" s="141">
        <v>0.05</v>
      </c>
      <c r="G118" s="119">
        <v>-1.4999999999999999E-2</v>
      </c>
      <c r="H118" s="141">
        <v>0.05</v>
      </c>
      <c r="I118" s="119">
        <v>9.9000000000000005E-2</v>
      </c>
      <c r="J118" s="119">
        <v>6.3E-2</v>
      </c>
      <c r="K118" s="141">
        <v>0.11</v>
      </c>
    </row>
    <row r="119" spans="2:14" x14ac:dyDescent="0.3">
      <c r="B119" s="110" t="s">
        <v>682</v>
      </c>
      <c r="C119" s="104"/>
      <c r="D119" s="104"/>
      <c r="E119" s="104"/>
      <c r="F119" s="104"/>
      <c r="G119" s="104"/>
      <c r="H119" s="104"/>
      <c r="I119" s="104"/>
      <c r="J119" s="104"/>
      <c r="K119" s="104"/>
      <c r="M119" s="1" t="s">
        <v>297</v>
      </c>
    </row>
    <row r="120" spans="2:14" x14ac:dyDescent="0.3">
      <c r="B120" s="168" t="s">
        <v>683</v>
      </c>
      <c r="C120" s="170">
        <v>517</v>
      </c>
      <c r="D120" s="104">
        <v>524</v>
      </c>
      <c r="E120" s="104"/>
      <c r="F120" s="104">
        <v>610</v>
      </c>
      <c r="G120" s="104">
        <v>485</v>
      </c>
      <c r="H120" s="104">
        <v>575</v>
      </c>
      <c r="I120" s="104">
        <v>594</v>
      </c>
      <c r="J120" s="104">
        <v>713</v>
      </c>
      <c r="K120" s="104">
        <v>586</v>
      </c>
      <c r="M120" s="125" t="s">
        <v>521</v>
      </c>
      <c r="N120" s="125" t="s">
        <v>522</v>
      </c>
    </row>
    <row r="121" spans="2:14" x14ac:dyDescent="0.3">
      <c r="B121" s="168" t="s">
        <v>684</v>
      </c>
      <c r="C121" s="104">
        <v>293</v>
      </c>
      <c r="D121" s="104">
        <v>265</v>
      </c>
      <c r="E121" s="104"/>
      <c r="F121" s="104">
        <v>287</v>
      </c>
      <c r="G121" s="104">
        <v>347</v>
      </c>
      <c r="H121" s="104">
        <v>307</v>
      </c>
      <c r="I121" s="104">
        <v>293</v>
      </c>
      <c r="J121" s="104">
        <v>335</v>
      </c>
      <c r="K121" s="104">
        <v>399</v>
      </c>
      <c r="M121" s="126" t="s">
        <v>523</v>
      </c>
      <c r="N121" s="127" t="s">
        <v>524</v>
      </c>
    </row>
    <row r="122" spans="2:14" x14ac:dyDescent="0.3">
      <c r="B122" s="104"/>
      <c r="C122" s="104"/>
      <c r="D122" s="104"/>
      <c r="E122" s="104"/>
      <c r="F122" s="104"/>
      <c r="G122" s="104"/>
      <c r="H122" s="104"/>
      <c r="I122" s="104"/>
      <c r="J122" s="104"/>
      <c r="K122" s="104"/>
      <c r="M122" s="126" t="s">
        <v>272</v>
      </c>
      <c r="N122" s="127" t="s">
        <v>525</v>
      </c>
    </row>
    <row r="123" spans="2:14" x14ac:dyDescent="0.3">
      <c r="B123" s="110" t="s">
        <v>8</v>
      </c>
      <c r="C123" s="171">
        <f>SUM(C106,C109,C111,C113,C115,C117,C120,C121)</f>
        <v>7853</v>
      </c>
      <c r="D123" s="171">
        <f>SUM(D106,D109,D111,D113,D115,D117,D120,D121)</f>
        <v>8003</v>
      </c>
      <c r="E123" s="171"/>
      <c r="F123" s="171">
        <f>SUM(F106,F109,F111,F113,F115,F117,F120,F121)</f>
        <v>8522</v>
      </c>
      <c r="G123" s="171">
        <f>SUM(G106,G109,G111,G113,G115,G117,G120,G121)</f>
        <v>8330</v>
      </c>
      <c r="H123" s="110">
        <v>8924</v>
      </c>
      <c r="I123" s="110">
        <v>8514</v>
      </c>
      <c r="J123" s="110">
        <v>8850</v>
      </c>
      <c r="K123" s="110">
        <v>9228</v>
      </c>
      <c r="M123" s="126" t="s">
        <v>313</v>
      </c>
      <c r="N123" s="127" t="s">
        <v>526</v>
      </c>
    </row>
    <row r="124" spans="2:14" x14ac:dyDescent="0.3">
      <c r="M124" s="126" t="s">
        <v>317</v>
      </c>
      <c r="N124" s="127" t="s">
        <v>527</v>
      </c>
    </row>
    <row r="125" spans="2:14" x14ac:dyDescent="0.3">
      <c r="F125" s="1" t="s">
        <v>762</v>
      </c>
      <c r="I125" s="1" t="s">
        <v>763</v>
      </c>
      <c r="M125" s="126" t="s">
        <v>500</v>
      </c>
      <c r="N125" s="127" t="s">
        <v>528</v>
      </c>
    </row>
    <row r="126" spans="2:14" x14ac:dyDescent="0.3">
      <c r="B126" s="121" t="s">
        <v>738</v>
      </c>
      <c r="C126" s="198" t="s">
        <v>739</v>
      </c>
      <c r="F126" s="121" t="s">
        <v>750</v>
      </c>
      <c r="G126" s="198" t="s">
        <v>751</v>
      </c>
      <c r="H126" t="s">
        <v>962</v>
      </c>
      <c r="I126" t="s">
        <v>768</v>
      </c>
      <c r="M126" s="126" t="s">
        <v>529</v>
      </c>
      <c r="N126" s="127" t="s">
        <v>530</v>
      </c>
    </row>
    <row r="127" spans="2:14" x14ac:dyDescent="0.3">
      <c r="B127" s="122" t="s">
        <v>699</v>
      </c>
      <c r="C127" s="199">
        <v>0.52</v>
      </c>
      <c r="F127" s="122" t="s">
        <v>752</v>
      </c>
      <c r="G127" s="201" t="s">
        <v>757</v>
      </c>
      <c r="H127" t="s">
        <v>718</v>
      </c>
      <c r="I127" s="110" t="s">
        <v>764</v>
      </c>
      <c r="J127" s="202" t="s">
        <v>765</v>
      </c>
      <c r="M127" s="126" t="s">
        <v>386</v>
      </c>
      <c r="N127" s="127" t="s">
        <v>531</v>
      </c>
    </row>
    <row r="128" spans="2:14" x14ac:dyDescent="0.3">
      <c r="B128" s="122" t="s">
        <v>247</v>
      </c>
      <c r="C128" s="198" t="s">
        <v>740</v>
      </c>
      <c r="F128" s="122" t="s">
        <v>753</v>
      </c>
      <c r="G128" s="201" t="s">
        <v>758</v>
      </c>
      <c r="H128" t="s">
        <v>715</v>
      </c>
      <c r="I128" s="110" t="s">
        <v>646</v>
      </c>
      <c r="J128" s="202" t="s">
        <v>766</v>
      </c>
      <c r="M128" s="126" t="s">
        <v>355</v>
      </c>
      <c r="N128" s="127" t="s">
        <v>532</v>
      </c>
    </row>
    <row r="129" spans="2:14" x14ac:dyDescent="0.3">
      <c r="B129" s="122" t="s">
        <v>700</v>
      </c>
      <c r="C129" s="198" t="s">
        <v>741</v>
      </c>
      <c r="F129" s="122" t="s">
        <v>754</v>
      </c>
      <c r="G129" s="201" t="s">
        <v>759</v>
      </c>
      <c r="H129" t="s">
        <v>963</v>
      </c>
      <c r="M129" s="126" t="s">
        <v>533</v>
      </c>
      <c r="N129" s="127" t="s">
        <v>534</v>
      </c>
    </row>
    <row r="130" spans="2:14" x14ac:dyDescent="0.3">
      <c r="B130" s="122" t="s">
        <v>742</v>
      </c>
      <c r="C130" s="198" t="s">
        <v>743</v>
      </c>
      <c r="F130" s="122" t="s">
        <v>755</v>
      </c>
      <c r="G130" s="201" t="s">
        <v>760</v>
      </c>
      <c r="H130" t="s">
        <v>718</v>
      </c>
      <c r="I130" s="183" t="s">
        <v>767</v>
      </c>
      <c r="M130" s="126" t="s">
        <v>535</v>
      </c>
      <c r="N130" s="127" t="s">
        <v>536</v>
      </c>
    </row>
    <row r="131" spans="2:14" x14ac:dyDescent="0.3">
      <c r="B131" s="122" t="s">
        <v>744</v>
      </c>
      <c r="C131" s="198" t="s">
        <v>745</v>
      </c>
      <c r="F131" s="122" t="s">
        <v>756</v>
      </c>
      <c r="G131" s="201" t="s">
        <v>761</v>
      </c>
      <c r="H131" t="s">
        <v>964</v>
      </c>
      <c r="M131" s="126" t="s">
        <v>537</v>
      </c>
      <c r="N131" s="127" t="s">
        <v>538</v>
      </c>
    </row>
    <row r="132" spans="2:14" ht="15" thickBot="1" x14ac:dyDescent="0.35">
      <c r="B132" s="122" t="s">
        <v>250</v>
      </c>
      <c r="C132" s="198" t="s">
        <v>746</v>
      </c>
      <c r="I132" s="1" t="s">
        <v>769</v>
      </c>
      <c r="M132" s="126" t="s">
        <v>392</v>
      </c>
      <c r="N132" s="127" t="s">
        <v>539</v>
      </c>
    </row>
    <row r="133" spans="2:14" ht="29.4" thickBot="1" x14ac:dyDescent="0.35">
      <c r="B133" s="122" t="s">
        <v>747</v>
      </c>
      <c r="C133" s="198" t="s">
        <v>746</v>
      </c>
      <c r="F133" s="239" t="s">
        <v>968</v>
      </c>
      <c r="I133" t="s">
        <v>770</v>
      </c>
      <c r="M133" s="126" t="s">
        <v>540</v>
      </c>
      <c r="N133" s="127" t="s">
        <v>541</v>
      </c>
    </row>
    <row r="134" spans="2:14" x14ac:dyDescent="0.3">
      <c r="B134" s="122" t="s">
        <v>748</v>
      </c>
      <c r="C134" s="198" t="s">
        <v>749</v>
      </c>
      <c r="F134" s="238" t="s">
        <v>965</v>
      </c>
      <c r="G134" s="271">
        <v>0.87</v>
      </c>
      <c r="I134" s="1" t="s">
        <v>771</v>
      </c>
      <c r="M134" s="126" t="s">
        <v>542</v>
      </c>
      <c r="N134" s="127" t="s">
        <v>543</v>
      </c>
    </row>
    <row r="135" spans="2:14" x14ac:dyDescent="0.3">
      <c r="F135" s="122" t="s">
        <v>392</v>
      </c>
      <c r="G135" s="272"/>
      <c r="I135" s="1" t="s">
        <v>777</v>
      </c>
      <c r="M135" s="126" t="s">
        <v>330</v>
      </c>
      <c r="N135" s="127" t="s">
        <v>544</v>
      </c>
    </row>
    <row r="136" spans="2:14" ht="57.6" x14ac:dyDescent="0.3">
      <c r="B136" s="126" t="s">
        <v>778</v>
      </c>
      <c r="C136" s="200" t="s">
        <v>779</v>
      </c>
      <c r="F136" s="122" t="s">
        <v>966</v>
      </c>
      <c r="G136" s="104">
        <v>4</v>
      </c>
      <c r="I136" s="125" t="s">
        <v>636</v>
      </c>
      <c r="J136" s="125" t="s">
        <v>168</v>
      </c>
      <c r="K136" s="125" t="s">
        <v>772</v>
      </c>
      <c r="L136" s="125" t="s">
        <v>678</v>
      </c>
      <c r="M136" s="126" t="s">
        <v>328</v>
      </c>
      <c r="N136" s="127" t="s">
        <v>545</v>
      </c>
    </row>
    <row r="137" spans="2:14" ht="28.8" x14ac:dyDescent="0.3">
      <c r="F137" s="122" t="s">
        <v>967</v>
      </c>
      <c r="G137" s="141">
        <v>0.1</v>
      </c>
      <c r="I137" s="126" t="s">
        <v>773</v>
      </c>
      <c r="J137" s="127" t="s">
        <v>774</v>
      </c>
      <c r="K137" s="127" t="s">
        <v>775</v>
      </c>
      <c r="L137" s="126" t="s">
        <v>776</v>
      </c>
      <c r="M137" s="126" t="s">
        <v>444</v>
      </c>
      <c r="N137" s="127" t="s">
        <v>546</v>
      </c>
    </row>
    <row r="138" spans="2:14" x14ac:dyDescent="0.3">
      <c r="C138" s="110">
        <v>2019</v>
      </c>
      <c r="D138" s="110">
        <v>2030</v>
      </c>
      <c r="E138" s="1"/>
      <c r="F138" s="13" t="s">
        <v>784</v>
      </c>
      <c r="M138" s="126" t="s">
        <v>547</v>
      </c>
      <c r="N138" s="127" t="s">
        <v>548</v>
      </c>
    </row>
    <row r="139" spans="2:14" x14ac:dyDescent="0.3">
      <c r="B139" s="126" t="s">
        <v>780</v>
      </c>
      <c r="C139" s="127" t="s">
        <v>781</v>
      </c>
      <c r="D139" s="127" t="s">
        <v>782</v>
      </c>
      <c r="E139" s="127"/>
      <c r="F139" s="126" t="s">
        <v>783</v>
      </c>
      <c r="M139" s="126" t="s">
        <v>549</v>
      </c>
      <c r="N139" s="127" t="s">
        <v>550</v>
      </c>
    </row>
    <row r="140" spans="2:14" x14ac:dyDescent="0.3">
      <c r="M140" s="126" t="s">
        <v>370</v>
      </c>
      <c r="N140" s="127" t="s">
        <v>551</v>
      </c>
    </row>
    <row r="141" spans="2:14" x14ac:dyDescent="0.3">
      <c r="B141" s="1" t="s">
        <v>825</v>
      </c>
      <c r="F141" s="1" t="s">
        <v>888</v>
      </c>
    </row>
    <row r="142" spans="2:14" ht="43.2" x14ac:dyDescent="0.3">
      <c r="B142" s="121" t="s">
        <v>785</v>
      </c>
      <c r="C142" s="125" t="s">
        <v>786</v>
      </c>
      <c r="M142" s="137" t="s">
        <v>298</v>
      </c>
    </row>
    <row r="143" spans="2:14" ht="129.6" x14ac:dyDescent="0.3">
      <c r="B143" s="122" t="s">
        <v>787</v>
      </c>
      <c r="C143" s="127" t="s">
        <v>788</v>
      </c>
      <c r="M143" s="125" t="s">
        <v>521</v>
      </c>
      <c r="N143" s="125" t="s">
        <v>522</v>
      </c>
    </row>
    <row r="144" spans="2:14" ht="115.2" x14ac:dyDescent="0.3">
      <c r="B144" s="122" t="s">
        <v>789</v>
      </c>
      <c r="C144" s="127" t="s">
        <v>790</v>
      </c>
      <c r="M144" s="126" t="s">
        <v>523</v>
      </c>
      <c r="N144" s="127" t="s">
        <v>552</v>
      </c>
    </row>
    <row r="145" spans="2:14" ht="187.2" x14ac:dyDescent="0.3">
      <c r="B145" s="122" t="s">
        <v>791</v>
      </c>
      <c r="C145" s="127" t="s">
        <v>792</v>
      </c>
      <c r="M145" s="126" t="s">
        <v>272</v>
      </c>
      <c r="N145" s="127" t="s">
        <v>553</v>
      </c>
    </row>
    <row r="146" spans="2:14" ht="129.6" x14ac:dyDescent="0.3">
      <c r="B146" s="122" t="s">
        <v>793</v>
      </c>
      <c r="C146" s="127" t="s">
        <v>794</v>
      </c>
      <c r="M146" s="126" t="s">
        <v>313</v>
      </c>
      <c r="N146" s="127" t="s">
        <v>554</v>
      </c>
    </row>
    <row r="147" spans="2:14" ht="129.6" x14ac:dyDescent="0.3">
      <c r="B147" s="122" t="s">
        <v>795</v>
      </c>
      <c r="C147" s="127" t="s">
        <v>796</v>
      </c>
      <c r="M147" s="126" t="s">
        <v>449</v>
      </c>
      <c r="N147" s="127" t="s">
        <v>555</v>
      </c>
    </row>
    <row r="148" spans="2:14" ht="86.4" x14ac:dyDescent="0.3">
      <c r="B148" s="122" t="s">
        <v>797</v>
      </c>
      <c r="C148" s="127" t="s">
        <v>798</v>
      </c>
      <c r="M148" s="126" t="s">
        <v>355</v>
      </c>
      <c r="N148" s="127" t="s">
        <v>556</v>
      </c>
    </row>
    <row r="149" spans="2:14" ht="129.6" x14ac:dyDescent="0.3">
      <c r="B149" s="122" t="s">
        <v>799</v>
      </c>
      <c r="C149" s="127" t="s">
        <v>800</v>
      </c>
      <c r="M149" s="126" t="s">
        <v>533</v>
      </c>
      <c r="N149" s="127" t="s">
        <v>557</v>
      </c>
    </row>
    <row r="150" spans="2:14" ht="187.2" x14ac:dyDescent="0.3">
      <c r="B150" s="122" t="s">
        <v>801</v>
      </c>
      <c r="C150" s="127" t="s">
        <v>802</v>
      </c>
      <c r="M150" s="126" t="s">
        <v>535</v>
      </c>
      <c r="N150" s="127" t="s">
        <v>558</v>
      </c>
    </row>
    <row r="151" spans="2:14" ht="115.2" x14ac:dyDescent="0.3">
      <c r="B151" s="122" t="s">
        <v>803</v>
      </c>
      <c r="C151" s="127" t="s">
        <v>804</v>
      </c>
      <c r="M151" s="126" t="s">
        <v>500</v>
      </c>
      <c r="N151" s="127" t="s">
        <v>559</v>
      </c>
    </row>
    <row r="152" spans="2:14" ht="115.2" x14ac:dyDescent="0.3">
      <c r="B152" s="122" t="s">
        <v>805</v>
      </c>
      <c r="C152" s="127" t="s">
        <v>806</v>
      </c>
      <c r="M152" s="126" t="s">
        <v>560</v>
      </c>
      <c r="N152" s="127" t="s">
        <v>561</v>
      </c>
    </row>
    <row r="153" spans="2:14" ht="100.8" x14ac:dyDescent="0.3">
      <c r="B153" s="122" t="s">
        <v>807</v>
      </c>
      <c r="C153" s="127" t="s">
        <v>808</v>
      </c>
      <c r="M153" s="126" t="s">
        <v>386</v>
      </c>
      <c r="N153" s="127" t="s">
        <v>562</v>
      </c>
    </row>
    <row r="154" spans="2:14" ht="129.6" x14ac:dyDescent="0.3">
      <c r="B154" s="122" t="s">
        <v>809</v>
      </c>
      <c r="C154" s="127" t="s">
        <v>810</v>
      </c>
      <c r="M154" s="126" t="s">
        <v>563</v>
      </c>
      <c r="N154" s="127" t="s">
        <v>564</v>
      </c>
    </row>
    <row r="155" spans="2:14" ht="144" x14ac:dyDescent="0.3">
      <c r="B155" s="122" t="s">
        <v>811</v>
      </c>
      <c r="C155" s="127" t="s">
        <v>812</v>
      </c>
      <c r="F155" s="1" t="s">
        <v>911</v>
      </c>
      <c r="M155" s="126" t="s">
        <v>392</v>
      </c>
      <c r="N155" s="127" t="s">
        <v>565</v>
      </c>
    </row>
    <row r="156" spans="2:14" ht="86.4" x14ac:dyDescent="0.3">
      <c r="B156" s="122" t="s">
        <v>813</v>
      </c>
      <c r="C156" s="127" t="s">
        <v>814</v>
      </c>
      <c r="F156" s="125" t="s">
        <v>896</v>
      </c>
      <c r="G156" s="200" t="s">
        <v>897</v>
      </c>
      <c r="H156" s="200" t="s">
        <v>898</v>
      </c>
      <c r="I156" s="200" t="s">
        <v>899</v>
      </c>
      <c r="J156" s="200" t="s">
        <v>900</v>
      </c>
      <c r="K156" s="200" t="s">
        <v>901</v>
      </c>
      <c r="M156" s="126" t="s">
        <v>540</v>
      </c>
      <c r="N156" s="127" t="s">
        <v>566</v>
      </c>
    </row>
    <row r="157" spans="2:14" ht="115.2" x14ac:dyDescent="0.3">
      <c r="B157" s="122" t="s">
        <v>815</v>
      </c>
      <c r="C157" s="127" t="s">
        <v>816</v>
      </c>
      <c r="F157" s="126" t="s">
        <v>902</v>
      </c>
      <c r="G157" s="236">
        <v>425.5</v>
      </c>
      <c r="H157" s="236" t="s">
        <v>903</v>
      </c>
      <c r="I157" s="236" t="s">
        <v>904</v>
      </c>
      <c r="J157" s="200">
        <v>400</v>
      </c>
      <c r="K157" s="200" t="s">
        <v>905</v>
      </c>
      <c r="M157" s="126" t="s">
        <v>330</v>
      </c>
      <c r="N157" s="127" t="s">
        <v>567</v>
      </c>
    </row>
    <row r="158" spans="2:14" ht="144" x14ac:dyDescent="0.3">
      <c r="B158" s="122" t="s">
        <v>817</v>
      </c>
      <c r="C158" s="127" t="s">
        <v>818</v>
      </c>
      <c r="F158" s="126" t="s">
        <v>906</v>
      </c>
      <c r="G158" s="236">
        <v>406</v>
      </c>
      <c r="H158" s="200">
        <v>340</v>
      </c>
      <c r="I158" s="236">
        <v>356.1</v>
      </c>
      <c r="J158" s="200">
        <v>347.3</v>
      </c>
      <c r="K158" s="200" t="s">
        <v>907</v>
      </c>
      <c r="M158" s="126" t="s">
        <v>328</v>
      </c>
      <c r="N158" s="127" t="s">
        <v>568</v>
      </c>
    </row>
    <row r="159" spans="2:14" ht="144" x14ac:dyDescent="0.3">
      <c r="B159" s="122" t="s">
        <v>819</v>
      </c>
      <c r="C159" s="127" t="s">
        <v>820</v>
      </c>
      <c r="F159" s="126" t="s">
        <v>895</v>
      </c>
      <c r="G159" s="236">
        <v>108.5</v>
      </c>
      <c r="H159" s="236">
        <v>133.4</v>
      </c>
      <c r="I159" s="236">
        <v>107</v>
      </c>
      <c r="J159" s="200">
        <v>99.2</v>
      </c>
      <c r="K159" s="200" t="s">
        <v>908</v>
      </c>
      <c r="M159" s="126" t="s">
        <v>444</v>
      </c>
      <c r="N159" s="127" t="s">
        <v>569</v>
      </c>
    </row>
    <row r="160" spans="2:14" ht="144" x14ac:dyDescent="0.3">
      <c r="B160" s="122" t="s">
        <v>821</v>
      </c>
      <c r="C160" s="127" t="s">
        <v>822</v>
      </c>
      <c r="F160" s="126" t="s">
        <v>542</v>
      </c>
      <c r="G160" s="236">
        <v>24.7</v>
      </c>
      <c r="H160" s="236">
        <v>52.6</v>
      </c>
      <c r="I160" s="236" t="s">
        <v>909</v>
      </c>
      <c r="J160" s="200">
        <v>74.7</v>
      </c>
      <c r="K160" s="200" t="s">
        <v>910</v>
      </c>
      <c r="M160" s="126" t="s">
        <v>547</v>
      </c>
      <c r="N160" s="127" t="s">
        <v>570</v>
      </c>
    </row>
    <row r="161" spans="2:14" ht="144" x14ac:dyDescent="0.3">
      <c r="B161" s="122" t="s">
        <v>823</v>
      </c>
      <c r="C161" s="127" t="s">
        <v>824</v>
      </c>
      <c r="M161" s="126" t="s">
        <v>549</v>
      </c>
      <c r="N161" s="127" t="s">
        <v>571</v>
      </c>
    </row>
    <row r="162" spans="2:14" ht="43.2" x14ac:dyDescent="0.3">
      <c r="F162" s="126" t="s">
        <v>912</v>
      </c>
      <c r="G162" s="141">
        <v>0.1</v>
      </c>
      <c r="M162" s="126" t="s">
        <v>370</v>
      </c>
      <c r="N162" s="127" t="s">
        <v>572</v>
      </c>
    </row>
    <row r="163" spans="2:14" ht="28.8" x14ac:dyDescent="0.3">
      <c r="F163" s="126" t="s">
        <v>913</v>
      </c>
      <c r="G163" s="104"/>
    </row>
    <row r="164" spans="2:14" ht="28.8" x14ac:dyDescent="0.3">
      <c r="F164" s="126" t="s">
        <v>914</v>
      </c>
      <c r="G164" s="267" t="s">
        <v>916</v>
      </c>
      <c r="M164" s="137" t="s">
        <v>299</v>
      </c>
    </row>
    <row r="165" spans="2:14" ht="28.8" x14ac:dyDescent="0.3">
      <c r="F165" s="126" t="s">
        <v>915</v>
      </c>
      <c r="G165" s="268"/>
      <c r="M165" s="125" t="s">
        <v>521</v>
      </c>
      <c r="N165" s="125" t="s">
        <v>574</v>
      </c>
    </row>
    <row r="166" spans="2:14" x14ac:dyDescent="0.3">
      <c r="M166" s="126" t="s">
        <v>523</v>
      </c>
      <c r="N166" s="127" t="s">
        <v>575</v>
      </c>
    </row>
    <row r="167" spans="2:14" ht="43.2" x14ac:dyDescent="0.3">
      <c r="B167" s="125" t="s">
        <v>309</v>
      </c>
      <c r="C167" s="125" t="s">
        <v>847</v>
      </c>
      <c r="D167" s="125" t="s">
        <v>848</v>
      </c>
      <c r="E167" s="128"/>
      <c r="M167" s="126" t="s">
        <v>272</v>
      </c>
      <c r="N167" s="127" t="s">
        <v>576</v>
      </c>
    </row>
    <row r="168" spans="2:14" ht="403.2" x14ac:dyDescent="0.3">
      <c r="B168" s="126" t="s">
        <v>849</v>
      </c>
      <c r="C168" s="127" t="s">
        <v>850</v>
      </c>
      <c r="D168" s="126" t="s">
        <v>851</v>
      </c>
      <c r="E168" s="137"/>
      <c r="M168" s="126" t="s">
        <v>313</v>
      </c>
      <c r="N168" s="127" t="s">
        <v>577</v>
      </c>
    </row>
    <row r="169" spans="2:14" ht="302.39999999999998" x14ac:dyDescent="0.3">
      <c r="B169" s="126" t="s">
        <v>852</v>
      </c>
      <c r="C169" s="127" t="s">
        <v>853</v>
      </c>
      <c r="D169" s="126" t="s">
        <v>854</v>
      </c>
      <c r="E169" s="137"/>
      <c r="M169" s="126" t="s">
        <v>449</v>
      </c>
      <c r="N169" s="127" t="s">
        <v>578</v>
      </c>
    </row>
    <row r="170" spans="2:14" ht="345.6" x14ac:dyDescent="0.3">
      <c r="B170" s="126" t="s">
        <v>855</v>
      </c>
      <c r="C170" s="127" t="s">
        <v>856</v>
      </c>
      <c r="D170" s="126" t="s">
        <v>857</v>
      </c>
      <c r="E170" s="137"/>
      <c r="M170" s="126" t="s">
        <v>355</v>
      </c>
      <c r="N170" s="127" t="s">
        <v>579</v>
      </c>
    </row>
    <row r="171" spans="2:14" ht="259.2" x14ac:dyDescent="0.3">
      <c r="B171" s="126" t="s">
        <v>272</v>
      </c>
      <c r="C171" s="127" t="s">
        <v>858</v>
      </c>
      <c r="D171" s="127" t="s">
        <v>859</v>
      </c>
      <c r="E171" s="243"/>
      <c r="M171" s="126" t="s">
        <v>533</v>
      </c>
      <c r="N171" s="127" t="s">
        <v>580</v>
      </c>
    </row>
    <row r="172" spans="2:14" ht="302.39999999999998" x14ac:dyDescent="0.3">
      <c r="B172" s="126" t="s">
        <v>860</v>
      </c>
      <c r="C172" s="127" t="s">
        <v>861</v>
      </c>
      <c r="D172" s="126" t="s">
        <v>862</v>
      </c>
      <c r="E172" s="137"/>
      <c r="M172" s="126" t="s">
        <v>535</v>
      </c>
      <c r="N172" s="127" t="s">
        <v>581</v>
      </c>
    </row>
    <row r="173" spans="2:14" ht="259.2" x14ac:dyDescent="0.3">
      <c r="B173" s="126" t="s">
        <v>863</v>
      </c>
      <c r="C173" s="127" t="s">
        <v>864</v>
      </c>
      <c r="D173" s="127" t="s">
        <v>865</v>
      </c>
      <c r="E173" s="243"/>
      <c r="M173" s="126" t="s">
        <v>500</v>
      </c>
      <c r="N173" s="127" t="s">
        <v>582</v>
      </c>
    </row>
    <row r="174" spans="2:14" ht="273.60000000000002" x14ac:dyDescent="0.3">
      <c r="B174" s="126" t="s">
        <v>866</v>
      </c>
      <c r="C174" s="127" t="s">
        <v>867</v>
      </c>
      <c r="D174" s="127" t="s">
        <v>868</v>
      </c>
      <c r="E174" s="243"/>
      <c r="M174" s="126" t="s">
        <v>560</v>
      </c>
      <c r="N174" s="127" t="s">
        <v>583</v>
      </c>
    </row>
    <row r="175" spans="2:14" ht="244.8" x14ac:dyDescent="0.3">
      <c r="B175" s="126" t="s">
        <v>384</v>
      </c>
      <c r="C175" s="127" t="s">
        <v>869</v>
      </c>
      <c r="D175" s="126" t="s">
        <v>870</v>
      </c>
      <c r="E175" s="137"/>
      <c r="M175" s="126" t="s">
        <v>386</v>
      </c>
      <c r="N175" s="127" t="s">
        <v>584</v>
      </c>
    </row>
    <row r="176" spans="2:14" ht="288" x14ac:dyDescent="0.3">
      <c r="B176" s="126" t="s">
        <v>326</v>
      </c>
      <c r="C176" s="127" t="s">
        <v>871</v>
      </c>
      <c r="D176" s="127" t="s">
        <v>872</v>
      </c>
      <c r="E176" s="243"/>
      <c r="M176" s="126" t="s">
        <v>563</v>
      </c>
      <c r="N176" s="127" t="s">
        <v>585</v>
      </c>
    </row>
    <row r="177" spans="2:14" ht="409.6" x14ac:dyDescent="0.3">
      <c r="B177" s="126" t="s">
        <v>444</v>
      </c>
      <c r="C177" s="127" t="s">
        <v>873</v>
      </c>
      <c r="D177" s="127" t="s">
        <v>874</v>
      </c>
      <c r="E177" s="243"/>
      <c r="M177" s="126" t="s">
        <v>392</v>
      </c>
      <c r="N177" s="127" t="s">
        <v>586</v>
      </c>
    </row>
    <row r="178" spans="2:14" ht="273.60000000000002" x14ac:dyDescent="0.3">
      <c r="B178" s="126" t="s">
        <v>875</v>
      </c>
      <c r="C178" s="127" t="s">
        <v>876</v>
      </c>
      <c r="D178" s="127" t="s">
        <v>877</v>
      </c>
      <c r="E178" s="243"/>
      <c r="M178" s="126" t="s">
        <v>540</v>
      </c>
      <c r="N178" s="127" t="s">
        <v>587</v>
      </c>
    </row>
    <row r="179" spans="2:14" x14ac:dyDescent="0.3">
      <c r="M179" s="126" t="s">
        <v>330</v>
      </c>
      <c r="N179" s="127" t="s">
        <v>588</v>
      </c>
    </row>
    <row r="180" spans="2:14" x14ac:dyDescent="0.3">
      <c r="M180" s="126" t="s">
        <v>328</v>
      </c>
      <c r="N180" s="127" t="s">
        <v>589</v>
      </c>
    </row>
    <row r="181" spans="2:14" x14ac:dyDescent="0.3">
      <c r="M181" s="126" t="s">
        <v>444</v>
      </c>
      <c r="N181" s="127" t="s">
        <v>590</v>
      </c>
    </row>
    <row r="182" spans="2:14" x14ac:dyDescent="0.3">
      <c r="B182" s="1" t="s">
        <v>948</v>
      </c>
      <c r="M182" s="126" t="s">
        <v>547</v>
      </c>
      <c r="N182" s="127" t="s">
        <v>591</v>
      </c>
    </row>
    <row r="183" spans="2:14" ht="29.4" thickBot="1" x14ac:dyDescent="0.35">
      <c r="B183" s="125" t="s">
        <v>917</v>
      </c>
      <c r="C183" s="125" t="s">
        <v>918</v>
      </c>
      <c r="D183" s="125" t="s">
        <v>919</v>
      </c>
      <c r="E183" s="128"/>
      <c r="M183" s="126" t="s">
        <v>549</v>
      </c>
      <c r="N183" s="127" t="s">
        <v>592</v>
      </c>
    </row>
    <row r="184" spans="2:14" ht="100.8" x14ac:dyDescent="0.3">
      <c r="B184" s="126" t="s">
        <v>920</v>
      </c>
      <c r="C184" s="127" t="s">
        <v>921</v>
      </c>
      <c r="D184" s="237" t="s">
        <v>922</v>
      </c>
      <c r="E184" s="243"/>
      <c r="F184" s="269" t="s">
        <v>947</v>
      </c>
      <c r="M184" s="126" t="s">
        <v>370</v>
      </c>
      <c r="N184" s="127" t="s">
        <v>593</v>
      </c>
    </row>
    <row r="185" spans="2:14" ht="72.599999999999994" thickBot="1" x14ac:dyDescent="0.35">
      <c r="B185" s="126" t="s">
        <v>923</v>
      </c>
      <c r="C185" s="127" t="s">
        <v>924</v>
      </c>
      <c r="D185" s="237" t="s">
        <v>925</v>
      </c>
      <c r="E185" s="243"/>
      <c r="F185" s="270"/>
    </row>
    <row r="186" spans="2:14" ht="100.8" x14ac:dyDescent="0.3">
      <c r="B186" s="126" t="s">
        <v>480</v>
      </c>
      <c r="C186" s="127" t="s">
        <v>926</v>
      </c>
      <c r="D186" s="127" t="s">
        <v>944</v>
      </c>
      <c r="E186" s="243"/>
      <c r="M186" s="137" t="s">
        <v>300</v>
      </c>
    </row>
    <row r="187" spans="2:14" ht="72" x14ac:dyDescent="0.3">
      <c r="B187" s="126" t="s">
        <v>927</v>
      </c>
      <c r="C187" s="127" t="s">
        <v>928</v>
      </c>
      <c r="D187" s="127" t="s">
        <v>945</v>
      </c>
      <c r="E187" s="243"/>
      <c r="M187" s="125" t="s">
        <v>521</v>
      </c>
      <c r="N187" s="125" t="s">
        <v>596</v>
      </c>
    </row>
    <row r="188" spans="2:14" ht="57.6" x14ac:dyDescent="0.3">
      <c r="B188" s="126" t="s">
        <v>929</v>
      </c>
      <c r="C188" s="127" t="s">
        <v>930</v>
      </c>
      <c r="D188" s="127" t="s">
        <v>931</v>
      </c>
      <c r="E188" s="243"/>
      <c r="M188" s="126" t="s">
        <v>523</v>
      </c>
      <c r="N188" s="127" t="s">
        <v>597</v>
      </c>
    </row>
    <row r="189" spans="2:14" ht="72" x14ac:dyDescent="0.3">
      <c r="B189" s="126" t="s">
        <v>932</v>
      </c>
      <c r="C189" s="127" t="s">
        <v>933</v>
      </c>
      <c r="D189" s="127" t="s">
        <v>934</v>
      </c>
      <c r="E189" s="243"/>
      <c r="F189" t="s">
        <v>946</v>
      </c>
      <c r="M189" s="126" t="s">
        <v>272</v>
      </c>
      <c r="N189" s="127" t="s">
        <v>598</v>
      </c>
    </row>
    <row r="190" spans="2:14" ht="57.6" x14ac:dyDescent="0.3">
      <c r="B190" s="126" t="s">
        <v>935</v>
      </c>
      <c r="C190" s="127" t="s">
        <v>936</v>
      </c>
      <c r="D190" s="127" t="s">
        <v>937</v>
      </c>
      <c r="E190" s="243"/>
      <c r="M190" s="126" t="s">
        <v>313</v>
      </c>
      <c r="N190" s="127" t="s">
        <v>599</v>
      </c>
    </row>
    <row r="191" spans="2:14" ht="115.2" x14ac:dyDescent="0.3">
      <c r="B191" s="126" t="s">
        <v>938</v>
      </c>
      <c r="C191" s="127" t="s">
        <v>939</v>
      </c>
      <c r="D191" s="127" t="s">
        <v>940</v>
      </c>
      <c r="E191" s="243"/>
      <c r="M191" s="126" t="s">
        <v>449</v>
      </c>
      <c r="N191" s="127" t="s">
        <v>600</v>
      </c>
    </row>
    <row r="192" spans="2:14" ht="57.6" x14ac:dyDescent="0.3">
      <c r="B192" s="126" t="s">
        <v>941</v>
      </c>
      <c r="C192" s="127" t="s">
        <v>942</v>
      </c>
      <c r="D192" s="127" t="s">
        <v>943</v>
      </c>
      <c r="E192" s="243"/>
      <c r="M192" s="126" t="s">
        <v>355</v>
      </c>
      <c r="N192" s="127" t="s">
        <v>601</v>
      </c>
    </row>
    <row r="193" spans="2:14" x14ac:dyDescent="0.3">
      <c r="M193" s="126" t="s">
        <v>533</v>
      </c>
      <c r="N193" s="127" t="s">
        <v>602</v>
      </c>
    </row>
    <row r="194" spans="2:14" ht="86.4" x14ac:dyDescent="0.3">
      <c r="B194" s="126" t="s">
        <v>949</v>
      </c>
      <c r="C194" s="127" t="s">
        <v>950</v>
      </c>
      <c r="M194" s="126" t="s">
        <v>535</v>
      </c>
      <c r="N194" s="127" t="s">
        <v>603</v>
      </c>
    </row>
    <row r="195" spans="2:14" x14ac:dyDescent="0.3">
      <c r="B195" s="126" t="s">
        <v>961</v>
      </c>
      <c r="C195" s="104" t="s">
        <v>951</v>
      </c>
      <c r="M195" s="126" t="s">
        <v>500</v>
      </c>
      <c r="N195" s="127" t="s">
        <v>604</v>
      </c>
    </row>
    <row r="196" spans="2:14" x14ac:dyDescent="0.3">
      <c r="C196" s="104" t="s">
        <v>952</v>
      </c>
      <c r="M196" s="126" t="s">
        <v>560</v>
      </c>
      <c r="N196" s="127" t="s">
        <v>605</v>
      </c>
    </row>
    <row r="197" spans="2:14" x14ac:dyDescent="0.3">
      <c r="C197" s="104" t="s">
        <v>953</v>
      </c>
      <c r="M197" s="126" t="s">
        <v>386</v>
      </c>
      <c r="N197" s="127" t="s">
        <v>606</v>
      </c>
    </row>
    <row r="198" spans="2:14" x14ac:dyDescent="0.3">
      <c r="C198" s="104" t="s">
        <v>954</v>
      </c>
      <c r="M198" s="126" t="s">
        <v>563</v>
      </c>
      <c r="N198" s="127" t="s">
        <v>607</v>
      </c>
    </row>
    <row r="199" spans="2:14" x14ac:dyDescent="0.3">
      <c r="C199" s="104" t="s">
        <v>955</v>
      </c>
      <c r="M199" s="126" t="s">
        <v>392</v>
      </c>
      <c r="N199" s="127" t="s">
        <v>608</v>
      </c>
    </row>
    <row r="200" spans="2:14" ht="16.2" customHeight="1" x14ac:dyDescent="0.3">
      <c r="C200" s="104" t="s">
        <v>956</v>
      </c>
      <c r="M200" s="126" t="s">
        <v>540</v>
      </c>
      <c r="N200" s="127" t="s">
        <v>609</v>
      </c>
    </row>
    <row r="201" spans="2:14" x14ac:dyDescent="0.3">
      <c r="C201" s="104" t="s">
        <v>957</v>
      </c>
      <c r="M201" s="126" t="s">
        <v>330</v>
      </c>
      <c r="N201" s="127" t="s">
        <v>610</v>
      </c>
    </row>
    <row r="202" spans="2:14" x14ac:dyDescent="0.3">
      <c r="C202" s="222" t="s">
        <v>958</v>
      </c>
      <c r="M202" s="126" t="s">
        <v>328</v>
      </c>
      <c r="N202" s="127" t="s">
        <v>611</v>
      </c>
    </row>
    <row r="203" spans="2:14" x14ac:dyDescent="0.3">
      <c r="B203" s="110" t="s">
        <v>959</v>
      </c>
      <c r="C203" s="104" t="s">
        <v>960</v>
      </c>
      <c r="M203" s="126" t="s">
        <v>444</v>
      </c>
      <c r="N203" s="127" t="s">
        <v>612</v>
      </c>
    </row>
    <row r="204" spans="2:14" x14ac:dyDescent="0.3">
      <c r="M204" s="126" t="s">
        <v>547</v>
      </c>
      <c r="N204" s="127" t="s">
        <v>613</v>
      </c>
    </row>
    <row r="205" spans="2:14" x14ac:dyDescent="0.3">
      <c r="M205" s="126" t="s">
        <v>549</v>
      </c>
      <c r="N205" s="127" t="s">
        <v>614</v>
      </c>
    </row>
    <row r="206" spans="2:14" x14ac:dyDescent="0.3">
      <c r="B206" s="110" t="s">
        <v>464</v>
      </c>
      <c r="C206" s="104" t="s">
        <v>465</v>
      </c>
      <c r="M206" s="126" t="s">
        <v>370</v>
      </c>
      <c r="N206" s="127" t="s">
        <v>615</v>
      </c>
    </row>
    <row r="207" spans="2:14" x14ac:dyDescent="0.3">
      <c r="B207" s="110" t="s">
        <v>466</v>
      </c>
      <c r="C207" s="104" t="s">
        <v>467</v>
      </c>
    </row>
    <row r="208" spans="2:14" x14ac:dyDescent="0.3">
      <c r="B208" s="110" t="s">
        <v>826</v>
      </c>
      <c r="C208" s="104" t="s">
        <v>467</v>
      </c>
      <c r="M208" s="137" t="s">
        <v>515</v>
      </c>
    </row>
    <row r="209" spans="2:14" x14ac:dyDescent="0.3">
      <c r="B209" s="110" t="s">
        <v>468</v>
      </c>
      <c r="C209" s="104" t="s">
        <v>467</v>
      </c>
      <c r="M209" s="125" t="s">
        <v>521</v>
      </c>
      <c r="N209" s="125" t="s">
        <v>616</v>
      </c>
    </row>
    <row r="210" spans="2:14" x14ac:dyDescent="0.3">
      <c r="B210" s="110" t="s">
        <v>469</v>
      </c>
      <c r="C210" s="104" t="s">
        <v>470</v>
      </c>
      <c r="M210" s="126" t="s">
        <v>523</v>
      </c>
      <c r="N210" s="127" t="s">
        <v>617</v>
      </c>
    </row>
    <row r="211" spans="2:14" x14ac:dyDescent="0.3">
      <c r="B211" s="110" t="s">
        <v>471</v>
      </c>
      <c r="C211" s="104" t="s">
        <v>475</v>
      </c>
      <c r="M211" s="126" t="s">
        <v>272</v>
      </c>
      <c r="N211" s="127" t="s">
        <v>618</v>
      </c>
    </row>
    <row r="212" spans="2:14" x14ac:dyDescent="0.3">
      <c r="B212" s="110" t="s">
        <v>472</v>
      </c>
      <c r="C212" s="104" t="s">
        <v>476</v>
      </c>
      <c r="M212" s="126" t="s">
        <v>313</v>
      </c>
      <c r="N212" s="127" t="s">
        <v>619</v>
      </c>
    </row>
    <row r="213" spans="2:14" x14ac:dyDescent="0.3">
      <c r="B213" s="110" t="s">
        <v>473</v>
      </c>
      <c r="C213" s="104" t="s">
        <v>474</v>
      </c>
      <c r="M213" s="126" t="s">
        <v>449</v>
      </c>
      <c r="N213" s="127" t="s">
        <v>620</v>
      </c>
    </row>
    <row r="214" spans="2:14" x14ac:dyDescent="0.3">
      <c r="M214" s="126" t="s">
        <v>355</v>
      </c>
      <c r="N214" s="127" t="s">
        <v>621</v>
      </c>
    </row>
    <row r="215" spans="2:14" x14ac:dyDescent="0.3">
      <c r="M215" s="126" t="s">
        <v>533</v>
      </c>
      <c r="N215" s="127" t="s">
        <v>622</v>
      </c>
    </row>
    <row r="216" spans="2:14" x14ac:dyDescent="0.3">
      <c r="M216" s="126" t="s">
        <v>535</v>
      </c>
      <c r="N216" s="127" t="s">
        <v>623</v>
      </c>
    </row>
    <row r="217" spans="2:14" x14ac:dyDescent="0.3">
      <c r="M217" s="126" t="s">
        <v>500</v>
      </c>
      <c r="N217" s="127" t="s">
        <v>624</v>
      </c>
    </row>
    <row r="218" spans="2:14" x14ac:dyDescent="0.3">
      <c r="M218" s="126" t="s">
        <v>560</v>
      </c>
      <c r="N218" s="127" t="s">
        <v>625</v>
      </c>
    </row>
    <row r="219" spans="2:14" x14ac:dyDescent="0.3">
      <c r="M219" s="126" t="s">
        <v>386</v>
      </c>
      <c r="N219" s="127" t="s">
        <v>626</v>
      </c>
    </row>
    <row r="220" spans="2:14" x14ac:dyDescent="0.3">
      <c r="M220" s="126" t="s">
        <v>563</v>
      </c>
      <c r="N220" s="127" t="s">
        <v>627</v>
      </c>
    </row>
    <row r="221" spans="2:14" x14ac:dyDescent="0.3">
      <c r="M221" s="126" t="s">
        <v>392</v>
      </c>
      <c r="N221" s="127" t="s">
        <v>628</v>
      </c>
    </row>
    <row r="222" spans="2:14" ht="28.8" x14ac:dyDescent="0.3">
      <c r="M222" s="126" t="s">
        <v>540</v>
      </c>
      <c r="N222" s="127" t="s">
        <v>629</v>
      </c>
    </row>
    <row r="223" spans="2:14" x14ac:dyDescent="0.3">
      <c r="M223" s="126" t="s">
        <v>330</v>
      </c>
      <c r="N223" s="127" t="s">
        <v>630</v>
      </c>
    </row>
    <row r="224" spans="2:14" x14ac:dyDescent="0.3">
      <c r="M224" s="126" t="s">
        <v>328</v>
      </c>
      <c r="N224" s="127" t="s">
        <v>631</v>
      </c>
    </row>
    <row r="225" spans="13:14" x14ac:dyDescent="0.3">
      <c r="M225" s="126" t="s">
        <v>444</v>
      </c>
      <c r="N225" s="127" t="s">
        <v>632</v>
      </c>
    </row>
    <row r="226" spans="13:14" x14ac:dyDescent="0.3">
      <c r="M226" s="126" t="s">
        <v>547</v>
      </c>
      <c r="N226" s="127" t="s">
        <v>633</v>
      </c>
    </row>
    <row r="227" spans="13:14" x14ac:dyDescent="0.3">
      <c r="M227" s="126" t="s">
        <v>549</v>
      </c>
      <c r="N227" s="127" t="s">
        <v>634</v>
      </c>
    </row>
    <row r="228" spans="13:14" x14ac:dyDescent="0.3">
      <c r="M228" s="126" t="s">
        <v>370</v>
      </c>
      <c r="N228" s="127" t="s">
        <v>635</v>
      </c>
    </row>
  </sheetData>
  <mergeCells count="16">
    <mergeCell ref="B2:H2"/>
    <mergeCell ref="C81:C84"/>
    <mergeCell ref="D81:D83"/>
    <mergeCell ref="D87:D89"/>
    <mergeCell ref="C87:C89"/>
    <mergeCell ref="F81:F83"/>
    <mergeCell ref="F87:F89"/>
    <mergeCell ref="C22:G22"/>
    <mergeCell ref="H22:K22"/>
    <mergeCell ref="B29:K31"/>
    <mergeCell ref="H53:K54"/>
    <mergeCell ref="G164:G165"/>
    <mergeCell ref="F184:F185"/>
    <mergeCell ref="G134:G135"/>
    <mergeCell ref="C104:G104"/>
    <mergeCell ref="H104:K104"/>
  </mergeCells>
  <hyperlinks>
    <hyperlink ref="G127" r:id="rId1" tooltip="ACMIIL INSTITUTIONAL RESEARCH" display="https://investmentguruindia.com/editorial/uploads/news-pdf/af4c780e_Paints - Sector Initiating Report_ACM.pdf?utm_source=chatgpt.com" xr:uid="{62F576A5-B971-4B62-9EE9-0596C8F82CD6}"/>
    <hyperlink ref="G128" r:id="rId2" tooltip="ACMIIL INSTITUTIONAL RESEARCH" display="https://investmentguruindia.com/editorial/uploads/news-pdf/af4c780e_Paints - Sector Initiating Report_ACM.pdf?utm_source=chatgpt.com" xr:uid="{6CE033E1-AFDA-41D4-B760-893DA336FAE1}"/>
    <hyperlink ref="G129" r:id="rId3" tooltip="ACMIIL INSTITUTIONAL RESEARCH" display="https://investmentguruindia.com/editorial/uploads/news-pdf/af4c780e_Paints - Sector Initiating Report_ACM.pdf?utm_source=chatgpt.com" xr:uid="{310F89C6-6721-40A0-B9AC-7644B75AB442}"/>
    <hyperlink ref="G130" r:id="rId4" tooltip="ACMIIL INSTITUTIONAL RESEARCH" display="https://investmentguruindia.com/editorial/uploads/news-pdf/af4c780e_Paints - Sector Initiating Report_ACM.pdf?utm_source=chatgpt.com" xr:uid="{B40200A7-BC7F-4763-89A2-3BC67E7FEADA}"/>
    <hyperlink ref="G131" r:id="rId5" tooltip="ACMIIL INSTITUTIONAL RESEARCH" display="https://investmentguruindia.com/editorial/uploads/news-pdf/af4c780e_Paints - Sector Initiating Report_ACM.pdf?utm_source=chatgpt.com" xr:uid="{D9811DA8-3A2E-4A22-A541-4AC3CB52070D}"/>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7C0CC-015C-41C7-9EB2-03EA41C3785D}">
  <dimension ref="C2:N42"/>
  <sheetViews>
    <sheetView showGridLines="0" topLeftCell="A8" zoomScale="104" workbookViewId="0">
      <selection activeCell="J19" sqref="J19"/>
    </sheetView>
  </sheetViews>
  <sheetFormatPr defaultRowHeight="14.4" x14ac:dyDescent="0.3"/>
  <cols>
    <col min="1" max="1" width="1.88671875" customWidth="1"/>
    <col min="3" max="3" width="27.6640625" customWidth="1"/>
    <col min="4" max="4" width="15.88671875" customWidth="1"/>
  </cols>
  <sheetData>
    <row r="2" spans="3:14" x14ac:dyDescent="0.3">
      <c r="C2" s="110" t="s">
        <v>143</v>
      </c>
      <c r="D2" s="110">
        <v>2016</v>
      </c>
      <c r="E2" s="110">
        <f>D2+1</f>
        <v>2017</v>
      </c>
      <c r="F2" s="110">
        <f t="shared" ref="F2:N2" si="0">E2+1</f>
        <v>2018</v>
      </c>
      <c r="G2" s="110">
        <f t="shared" si="0"/>
        <v>2019</v>
      </c>
      <c r="H2" s="110">
        <f t="shared" si="0"/>
        <v>2020</v>
      </c>
      <c r="I2" s="110">
        <f t="shared" si="0"/>
        <v>2021</v>
      </c>
      <c r="J2" s="110">
        <f t="shared" si="0"/>
        <v>2022</v>
      </c>
      <c r="K2" s="110">
        <f t="shared" si="0"/>
        <v>2023</v>
      </c>
      <c r="L2" s="110">
        <f t="shared" si="0"/>
        <v>2024</v>
      </c>
      <c r="M2" s="110">
        <f t="shared" si="0"/>
        <v>2025</v>
      </c>
      <c r="N2" s="110">
        <f t="shared" si="0"/>
        <v>2026</v>
      </c>
    </row>
    <row r="3" spans="3:14" x14ac:dyDescent="0.3">
      <c r="C3" s="110" t="s">
        <v>1000</v>
      </c>
      <c r="N3" s="228"/>
    </row>
    <row r="4" spans="3:14" x14ac:dyDescent="0.3">
      <c r="C4" s="169" t="s">
        <v>272</v>
      </c>
      <c r="D4" s="141">
        <v>0.1</v>
      </c>
      <c r="E4" s="141">
        <v>0.06</v>
      </c>
      <c r="F4" s="141">
        <v>0.11</v>
      </c>
      <c r="G4" s="119">
        <v>0.13</v>
      </c>
      <c r="H4" s="119">
        <v>0.107</v>
      </c>
      <c r="I4" s="141">
        <v>0.125</v>
      </c>
      <c r="J4" s="141">
        <v>0.31</v>
      </c>
      <c r="K4" s="141">
        <v>0.14000000000000001</v>
      </c>
      <c r="L4" s="119">
        <v>9.4E-2</v>
      </c>
      <c r="M4" s="119">
        <v>2.5000000000000001E-2</v>
      </c>
      <c r="N4" s="141">
        <v>0.09</v>
      </c>
    </row>
    <row r="5" spans="3:14" x14ac:dyDescent="0.3">
      <c r="C5" s="260"/>
    </row>
    <row r="6" spans="3:14" ht="28.8" x14ac:dyDescent="0.3">
      <c r="C6" s="261" t="s">
        <v>1006</v>
      </c>
      <c r="D6" s="261" t="s">
        <v>1005</v>
      </c>
    </row>
    <row r="7" spans="3:14" x14ac:dyDescent="0.3">
      <c r="C7" s="104" t="s">
        <v>1002</v>
      </c>
      <c r="D7" s="141">
        <v>0.48</v>
      </c>
    </row>
    <row r="8" spans="3:14" x14ac:dyDescent="0.3">
      <c r="C8" s="104" t="s">
        <v>1001</v>
      </c>
      <c r="D8" s="141">
        <v>0.41</v>
      </c>
    </row>
    <row r="9" spans="3:14" x14ac:dyDescent="0.3">
      <c r="C9" s="104" t="s">
        <v>1003</v>
      </c>
      <c r="D9" s="141">
        <v>0.33</v>
      </c>
    </row>
    <row r="10" spans="3:14" x14ac:dyDescent="0.3">
      <c r="C10" s="104" t="s">
        <v>1004</v>
      </c>
      <c r="D10" s="141">
        <v>0.32</v>
      </c>
    </row>
    <row r="12" spans="3:14" x14ac:dyDescent="0.3">
      <c r="C12" s="1" t="s">
        <v>1010</v>
      </c>
    </row>
    <row r="13" spans="3:14" x14ac:dyDescent="0.3">
      <c r="C13" s="13" t="s">
        <v>1009</v>
      </c>
    </row>
    <row r="14" spans="3:14" ht="15" thickBot="1" x14ac:dyDescent="0.35">
      <c r="C14" s="104"/>
      <c r="D14" s="104">
        <v>2021</v>
      </c>
      <c r="E14" s="104">
        <f>D14+1</f>
        <v>2022</v>
      </c>
      <c r="F14" s="104">
        <f t="shared" ref="F14:H14" si="1">E14+1</f>
        <v>2023</v>
      </c>
      <c r="G14" s="104">
        <f t="shared" si="1"/>
        <v>2024</v>
      </c>
      <c r="H14" s="104">
        <f t="shared" si="1"/>
        <v>2025</v>
      </c>
      <c r="I14" s="202" t="s">
        <v>1015</v>
      </c>
    </row>
    <row r="15" spans="3:14" ht="43.8" thickBot="1" x14ac:dyDescent="0.35">
      <c r="C15" s="132" t="s">
        <v>1011</v>
      </c>
      <c r="D15" s="104">
        <v>34</v>
      </c>
      <c r="E15" s="104">
        <v>51</v>
      </c>
      <c r="F15" s="104">
        <v>72</v>
      </c>
      <c r="G15" s="104">
        <v>78</v>
      </c>
      <c r="H15" s="104">
        <v>103</v>
      </c>
      <c r="I15" s="262">
        <v>120</v>
      </c>
      <c r="J15" s="264" t="s">
        <v>1017</v>
      </c>
    </row>
    <row r="16" spans="3:14" ht="15" thickBot="1" x14ac:dyDescent="0.35">
      <c r="C16" s="104" t="s">
        <v>1012</v>
      </c>
      <c r="D16" s="104"/>
      <c r="E16" s="120">
        <f>E15/D15-1</f>
        <v>0.5</v>
      </c>
      <c r="F16" s="120">
        <f t="shared" ref="F16:I16" si="2">F15/E15-1</f>
        <v>0.41176470588235303</v>
      </c>
      <c r="G16" s="120">
        <f t="shared" si="2"/>
        <v>8.3333333333333259E-2</v>
      </c>
      <c r="H16" s="120">
        <f t="shared" si="2"/>
        <v>0.32051282051282048</v>
      </c>
      <c r="I16" s="120">
        <f t="shared" si="2"/>
        <v>0.16504854368932032</v>
      </c>
      <c r="J16" s="263">
        <f>(I15/D15)^(1/5)-1</f>
        <v>0.28688715437719958</v>
      </c>
    </row>
    <row r="17" spans="3:10" x14ac:dyDescent="0.3">
      <c r="C17" s="104" t="s">
        <v>1022</v>
      </c>
      <c r="D17" s="265">
        <v>0.24</v>
      </c>
      <c r="E17" s="110"/>
      <c r="F17" s="110"/>
      <c r="G17" s="110"/>
      <c r="H17" s="265">
        <v>0.57999999999999996</v>
      </c>
      <c r="I17" s="266" t="s">
        <v>1021</v>
      </c>
    </row>
    <row r="18" spans="3:10" x14ac:dyDescent="0.3">
      <c r="C18" s="13" t="s">
        <v>1013</v>
      </c>
    </row>
    <row r="19" spans="3:10" x14ac:dyDescent="0.3">
      <c r="C19" t="s">
        <v>1014</v>
      </c>
    </row>
    <row r="20" spans="3:10" x14ac:dyDescent="0.3">
      <c r="C20" t="s">
        <v>1016</v>
      </c>
    </row>
    <row r="21" spans="3:10" x14ac:dyDescent="0.3">
      <c r="C21" t="s">
        <v>1018</v>
      </c>
    </row>
    <row r="22" spans="3:10" x14ac:dyDescent="0.3">
      <c r="C22" t="s">
        <v>1032</v>
      </c>
    </row>
    <row r="23" spans="3:10" x14ac:dyDescent="0.3">
      <c r="C23" s="1" t="s">
        <v>1019</v>
      </c>
    </row>
    <row r="24" spans="3:10" x14ac:dyDescent="0.3">
      <c r="C24" s="13" t="s">
        <v>1030</v>
      </c>
    </row>
    <row r="25" spans="3:10" ht="15" thickBot="1" x14ac:dyDescent="0.35">
      <c r="C25" s="104"/>
      <c r="D25" s="104">
        <v>2021</v>
      </c>
      <c r="E25" s="104">
        <f>D25+1</f>
        <v>2022</v>
      </c>
      <c r="F25" s="104">
        <f t="shared" ref="F25" si="3">E25+1</f>
        <v>2023</v>
      </c>
      <c r="G25" s="104">
        <f t="shared" ref="G25" si="4">F25+1</f>
        <v>2024</v>
      </c>
      <c r="H25" s="104">
        <f t="shared" ref="H25" si="5">G25+1</f>
        <v>2025</v>
      </c>
      <c r="I25" s="202" t="s">
        <v>1015</v>
      </c>
    </row>
    <row r="26" spans="3:10" ht="43.8" thickBot="1" x14ac:dyDescent="0.35">
      <c r="C26" s="132" t="s">
        <v>1020</v>
      </c>
      <c r="D26" s="104">
        <v>50</v>
      </c>
      <c r="E26" s="104">
        <v>72</v>
      </c>
      <c r="F26" s="104">
        <v>80</v>
      </c>
      <c r="G26" s="104">
        <v>102</v>
      </c>
      <c r="H26" s="104">
        <v>99</v>
      </c>
      <c r="I26" s="104">
        <v>104</v>
      </c>
      <c r="J26" s="264" t="s">
        <v>1017</v>
      </c>
    </row>
    <row r="27" spans="3:10" ht="15" thickBot="1" x14ac:dyDescent="0.35">
      <c r="C27" s="104" t="s">
        <v>1012</v>
      </c>
      <c r="D27" s="104"/>
      <c r="E27" s="120">
        <f>E26/D26-1</f>
        <v>0.43999999999999995</v>
      </c>
      <c r="F27" s="120">
        <f t="shared" ref="F27" si="6">F26/E26-1</f>
        <v>0.11111111111111116</v>
      </c>
      <c r="G27" s="120">
        <f t="shared" ref="G27" si="7">G26/F26-1</f>
        <v>0.27499999999999991</v>
      </c>
      <c r="H27" s="120">
        <f t="shared" ref="H27" si="8">H26/G26-1</f>
        <v>-2.9411764705882359E-2</v>
      </c>
      <c r="I27" s="120">
        <f t="shared" ref="I27" si="9">I26/H26-1</f>
        <v>5.0505050505050608E-2</v>
      </c>
      <c r="J27" s="263">
        <f>(I26/D26)^(1/5)-1</f>
        <v>0.15774434135315829</v>
      </c>
    </row>
    <row r="28" spans="3:10" x14ac:dyDescent="0.3">
      <c r="C28" s="104" t="s">
        <v>1024</v>
      </c>
      <c r="D28" s="265">
        <v>0.19</v>
      </c>
      <c r="E28" s="110"/>
      <c r="F28" s="110"/>
      <c r="G28" s="110"/>
      <c r="H28" s="265">
        <v>0.37</v>
      </c>
      <c r="I28" s="266" t="s">
        <v>1023</v>
      </c>
    </row>
    <row r="29" spans="3:10" x14ac:dyDescent="0.3">
      <c r="C29" s="13" t="s">
        <v>1013</v>
      </c>
    </row>
    <row r="30" spans="3:10" x14ac:dyDescent="0.3">
      <c r="C30" t="s">
        <v>1014</v>
      </c>
    </row>
    <row r="31" spans="3:10" x14ac:dyDescent="0.3">
      <c r="C31" t="s">
        <v>1033</v>
      </c>
    </row>
    <row r="33" spans="3:10" x14ac:dyDescent="0.3">
      <c r="C33" s="1" t="s">
        <v>1025</v>
      </c>
    </row>
    <row r="34" spans="3:10" x14ac:dyDescent="0.3">
      <c r="C34" s="13" t="s">
        <v>1026</v>
      </c>
    </row>
    <row r="35" spans="3:10" ht="15" thickBot="1" x14ac:dyDescent="0.35">
      <c r="C35" s="104"/>
      <c r="D35" s="104">
        <v>2021</v>
      </c>
      <c r="E35" s="104">
        <f>D35+1</f>
        <v>2022</v>
      </c>
      <c r="F35" s="104">
        <f t="shared" ref="F35" si="10">E35+1</f>
        <v>2023</v>
      </c>
      <c r="G35" s="104">
        <f t="shared" ref="G35" si="11">F35+1</f>
        <v>2024</v>
      </c>
      <c r="H35" s="104">
        <f t="shared" ref="H35" si="12">G35+1</f>
        <v>2025</v>
      </c>
      <c r="I35" s="202" t="s">
        <v>1015</v>
      </c>
    </row>
    <row r="36" spans="3:10" ht="43.8" thickBot="1" x14ac:dyDescent="0.35">
      <c r="C36" s="132" t="s">
        <v>1028</v>
      </c>
      <c r="D36" s="104">
        <v>150</v>
      </c>
      <c r="E36" s="104">
        <v>155</v>
      </c>
      <c r="F36" s="104">
        <v>163</v>
      </c>
      <c r="G36" s="104">
        <v>170</v>
      </c>
      <c r="H36" s="104">
        <v>160</v>
      </c>
      <c r="I36" s="104">
        <v>152</v>
      </c>
      <c r="J36" s="264" t="s">
        <v>1017</v>
      </c>
    </row>
    <row r="37" spans="3:10" ht="15" thickBot="1" x14ac:dyDescent="0.35">
      <c r="C37" s="104" t="s">
        <v>1012</v>
      </c>
      <c r="D37" s="104"/>
      <c r="E37" s="120">
        <f>E36/D36-1</f>
        <v>3.3333333333333437E-2</v>
      </c>
      <c r="F37" s="120">
        <f t="shared" ref="F37" si="13">F36/E36-1</f>
        <v>5.1612903225806361E-2</v>
      </c>
      <c r="G37" s="120">
        <f t="shared" ref="G37" si="14">G36/F36-1</f>
        <v>4.2944785276073594E-2</v>
      </c>
      <c r="H37" s="120">
        <f t="shared" ref="H37" si="15">H36/G36-1</f>
        <v>-5.8823529411764719E-2</v>
      </c>
      <c r="I37" s="120">
        <f t="shared" ref="I37" si="16">I36/H36-1</f>
        <v>-5.0000000000000044E-2</v>
      </c>
      <c r="J37" s="263">
        <f>(I36/D36)^(1/5)-1</f>
        <v>2.6525571709437035E-3</v>
      </c>
    </row>
    <row r="38" spans="3:10" x14ac:dyDescent="0.3">
      <c r="C38" s="104" t="s">
        <v>1022</v>
      </c>
      <c r="D38" s="265">
        <v>0.31</v>
      </c>
      <c r="E38" s="110"/>
      <c r="F38" s="110"/>
      <c r="G38" s="110"/>
      <c r="H38" s="265">
        <v>0.37</v>
      </c>
      <c r="I38" s="266" t="s">
        <v>1027</v>
      </c>
    </row>
    <row r="39" spans="3:10" x14ac:dyDescent="0.3">
      <c r="C39" s="13" t="s">
        <v>1013</v>
      </c>
    </row>
    <row r="40" spans="3:10" x14ac:dyDescent="0.3">
      <c r="C40" t="s">
        <v>1014</v>
      </c>
    </row>
    <row r="41" spans="3:10" x14ac:dyDescent="0.3">
      <c r="C41" t="s">
        <v>1029</v>
      </c>
    </row>
    <row r="42" spans="3:10" x14ac:dyDescent="0.3">
      <c r="C42" t="s">
        <v>1031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DB94-23D4-4B18-A87E-3C54F3194F51}">
  <sheetPr>
    <tabColor rgb="FF002060"/>
  </sheetPr>
  <dimension ref="A1"/>
  <sheetViews>
    <sheetView workbookViewId="0">
      <selection activeCell="G1" sqref="G1"/>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C38C-485C-4000-9F5E-6082C0F49B30}">
  <dimension ref="A2:AL103"/>
  <sheetViews>
    <sheetView showGridLines="0" zoomScale="84" workbookViewId="0">
      <pane ySplit="3" topLeftCell="A4" activePane="bottomLeft" state="frozen"/>
      <selection pane="bottomLeft" activeCell="M49" sqref="M49"/>
    </sheetView>
  </sheetViews>
  <sheetFormatPr defaultRowHeight="14.4" x14ac:dyDescent="0.3"/>
  <cols>
    <col min="1" max="1" width="2.109375" bestFit="1" customWidth="1"/>
    <col min="2" max="2" width="26.77734375" bestFit="1" customWidth="1"/>
    <col min="3" max="4" width="9.5546875" bestFit="1" customWidth="1"/>
    <col min="5" max="6" width="10.21875" bestFit="1" customWidth="1"/>
    <col min="7" max="7" width="10.21875" customWidth="1"/>
    <col min="8" max="9" width="10.21875" bestFit="1" customWidth="1"/>
    <col min="10" max="13" width="11.109375" bestFit="1" customWidth="1"/>
  </cols>
  <sheetData>
    <row r="2" spans="1:38" x14ac:dyDescent="0.3">
      <c r="B2" s="279" t="str">
        <f>"Historical Financial Statement"&amp;" - "&amp;Datasheet!$B$1</f>
        <v>Historical Financial Statement - ASIAN PAINTS LTD</v>
      </c>
      <c r="C2" s="279"/>
      <c r="D2" s="279"/>
      <c r="E2" s="279"/>
      <c r="F2" s="279"/>
      <c r="G2" s="279"/>
      <c r="H2" s="279"/>
      <c r="I2" s="279"/>
      <c r="J2" s="279"/>
      <c r="K2" s="279"/>
      <c r="L2" s="279"/>
      <c r="M2" s="279"/>
    </row>
    <row r="3" spans="1:38" x14ac:dyDescent="0.3">
      <c r="B3" s="9" t="s">
        <v>9</v>
      </c>
      <c r="C3" s="10">
        <v>42825</v>
      </c>
      <c r="D3" s="10">
        <v>43190</v>
      </c>
      <c r="E3" s="10">
        <v>43555</v>
      </c>
      <c r="F3" s="10">
        <v>43921</v>
      </c>
      <c r="G3" s="10">
        <v>44286</v>
      </c>
      <c r="H3" s="10">
        <v>44651</v>
      </c>
      <c r="I3" s="10">
        <v>45016</v>
      </c>
      <c r="J3" s="10">
        <v>45382</v>
      </c>
      <c r="K3" s="10">
        <v>45747</v>
      </c>
      <c r="L3" s="10">
        <v>46112</v>
      </c>
      <c r="M3" s="11" t="s">
        <v>38</v>
      </c>
    </row>
    <row r="5" spans="1:38" x14ac:dyDescent="0.3">
      <c r="A5" s="1" t="s">
        <v>7</v>
      </c>
      <c r="B5" s="2" t="s">
        <v>0</v>
      </c>
      <c r="C5" s="16"/>
      <c r="D5" s="16"/>
      <c r="E5" s="16"/>
      <c r="F5" s="16"/>
      <c r="G5" s="16"/>
      <c r="H5" s="16"/>
      <c r="I5" s="16"/>
      <c r="J5" s="16"/>
      <c r="K5" s="16"/>
      <c r="L5" s="16"/>
      <c r="M5" s="16"/>
      <c r="V5">
        <v>11</v>
      </c>
      <c r="W5">
        <f>V5+1</f>
        <v>12</v>
      </c>
      <c r="X5">
        <f t="shared" ref="X5:AL5" si="0">W5+1</f>
        <v>13</v>
      </c>
      <c r="Y5">
        <f t="shared" si="0"/>
        <v>14</v>
      </c>
      <c r="Z5">
        <f t="shared" si="0"/>
        <v>15</v>
      </c>
      <c r="AA5">
        <f t="shared" si="0"/>
        <v>16</v>
      </c>
      <c r="AB5">
        <f t="shared" si="0"/>
        <v>17</v>
      </c>
      <c r="AC5">
        <f t="shared" si="0"/>
        <v>18</v>
      </c>
      <c r="AD5">
        <f t="shared" si="0"/>
        <v>19</v>
      </c>
      <c r="AE5">
        <f t="shared" si="0"/>
        <v>20</v>
      </c>
      <c r="AF5">
        <f t="shared" si="0"/>
        <v>21</v>
      </c>
      <c r="AG5">
        <f t="shared" si="0"/>
        <v>22</v>
      </c>
      <c r="AH5">
        <f t="shared" si="0"/>
        <v>23</v>
      </c>
      <c r="AI5">
        <f t="shared" si="0"/>
        <v>24</v>
      </c>
      <c r="AJ5">
        <f t="shared" si="0"/>
        <v>25</v>
      </c>
      <c r="AK5">
        <f t="shared" si="0"/>
        <v>26</v>
      </c>
      <c r="AL5">
        <f t="shared" si="0"/>
        <v>27</v>
      </c>
    </row>
    <row r="6" spans="1:38" x14ac:dyDescent="0.3">
      <c r="B6" t="s">
        <v>10</v>
      </c>
      <c r="C6" s="22">
        <f>IFERROR(Datasheet!B17,0)</f>
        <v>15061.99</v>
      </c>
      <c r="D6" s="12">
        <f>IFERROR(Datasheet!C17,0)</f>
        <v>16824.55</v>
      </c>
      <c r="E6" s="12">
        <f>IFERROR(Datasheet!D17,0)</f>
        <v>19240.13</v>
      </c>
      <c r="F6" s="12">
        <f>IFERROR(Datasheet!E17,0)</f>
        <v>20211.25</v>
      </c>
      <c r="G6" s="12">
        <f>IFERROR(Datasheet!F17,0)</f>
        <v>21712.79</v>
      </c>
      <c r="H6" s="12">
        <f>IFERROR(Datasheet!G17,0)</f>
        <v>29101.279999999999</v>
      </c>
      <c r="I6" s="12">
        <f>IFERROR(Datasheet!H17,0)</f>
        <v>34488.589999999997</v>
      </c>
      <c r="J6" s="12">
        <f>IFERROR(Datasheet!I17,0)</f>
        <v>35494.730000000003</v>
      </c>
      <c r="K6" s="12">
        <f>IFERROR(Datasheet!J17,0)</f>
        <v>33905.620000000003</v>
      </c>
      <c r="L6" s="12">
        <f>IFERROR(Datasheet!K17,0)</f>
        <v>35583.54</v>
      </c>
      <c r="M6" s="12">
        <f>L6</f>
        <v>35583.54</v>
      </c>
      <c r="V6">
        <v>7722</v>
      </c>
      <c r="W6">
        <v>9632</v>
      </c>
      <c r="X6">
        <v>10938</v>
      </c>
      <c r="Y6">
        <v>12715</v>
      </c>
      <c r="Z6">
        <v>14183</v>
      </c>
      <c r="AA6">
        <v>15534</v>
      </c>
      <c r="AB6">
        <v>15061.99</v>
      </c>
      <c r="AC6">
        <v>16824.55</v>
      </c>
      <c r="AD6">
        <v>19240.13</v>
      </c>
      <c r="AE6">
        <v>20211.25</v>
      </c>
      <c r="AF6">
        <v>21712.79</v>
      </c>
      <c r="AG6">
        <v>29101.279999999999</v>
      </c>
      <c r="AH6">
        <v>34488.589999999997</v>
      </c>
      <c r="AI6">
        <v>35494.730000000003</v>
      </c>
      <c r="AJ6">
        <v>33905.620000000003</v>
      </c>
      <c r="AK6">
        <v>35583.54</v>
      </c>
      <c r="AL6">
        <v>35583.54</v>
      </c>
    </row>
    <row r="7" spans="1:38" x14ac:dyDescent="0.3">
      <c r="B7" s="7" t="s">
        <v>16</v>
      </c>
      <c r="C7" s="14" t="s">
        <v>39</v>
      </c>
      <c r="D7" s="8">
        <f>D6/C6-1</f>
        <v>0.11702039371955486</v>
      </c>
      <c r="E7" s="8">
        <f t="shared" ref="E7:L7" si="1">E6/D6-1</f>
        <v>0.14357471670861943</v>
      </c>
      <c r="F7" s="8">
        <f t="shared" si="1"/>
        <v>5.0473671435691925E-2</v>
      </c>
      <c r="G7" s="8">
        <f t="shared" si="1"/>
        <v>7.4292287711052118E-2</v>
      </c>
      <c r="H7" s="8">
        <f t="shared" si="1"/>
        <v>0.34028284711453471</v>
      </c>
      <c r="I7" s="8">
        <f t="shared" si="1"/>
        <v>0.18512278497715551</v>
      </c>
      <c r="J7" s="8">
        <f t="shared" si="1"/>
        <v>2.9173126532572313E-2</v>
      </c>
      <c r="K7" s="8">
        <f t="shared" si="1"/>
        <v>-4.4770308155605121E-2</v>
      </c>
      <c r="L7" s="8">
        <f t="shared" si="1"/>
        <v>4.9487960992897317E-2</v>
      </c>
      <c r="M7" s="8">
        <f>L7</f>
        <v>4.9487960992897317E-2</v>
      </c>
      <c r="W7" s="25">
        <f>W6/V6-1</f>
        <v>0.24734524734524732</v>
      </c>
      <c r="X7" s="25">
        <f t="shared" ref="X7:AL7" si="2">X6/W6-1</f>
        <v>0.13558970099667778</v>
      </c>
      <c r="Y7" s="25">
        <f t="shared" si="2"/>
        <v>0.16246114463338812</v>
      </c>
      <c r="Z7" s="25">
        <f t="shared" si="2"/>
        <v>0.11545418796696816</v>
      </c>
      <c r="AA7" s="25">
        <f t="shared" si="2"/>
        <v>9.525488260593673E-2</v>
      </c>
      <c r="AB7" s="25">
        <f t="shared" si="2"/>
        <v>-3.0385605767992763E-2</v>
      </c>
      <c r="AC7" s="25">
        <f t="shared" si="2"/>
        <v>0.11702039371955486</v>
      </c>
      <c r="AD7" s="25">
        <f t="shared" si="2"/>
        <v>0.14357471670861943</v>
      </c>
      <c r="AE7" s="25">
        <f t="shared" si="2"/>
        <v>5.0473671435691925E-2</v>
      </c>
      <c r="AF7" s="25">
        <f t="shared" si="2"/>
        <v>7.4292287711052118E-2</v>
      </c>
      <c r="AG7" s="25">
        <f t="shared" si="2"/>
        <v>0.34028284711453471</v>
      </c>
      <c r="AH7" s="25">
        <f t="shared" si="2"/>
        <v>0.18512278497715551</v>
      </c>
      <c r="AI7" s="25">
        <f t="shared" si="2"/>
        <v>2.9173126532572313E-2</v>
      </c>
      <c r="AJ7" s="25">
        <f t="shared" si="2"/>
        <v>-4.4770308155605121E-2</v>
      </c>
      <c r="AK7" s="25">
        <f t="shared" si="2"/>
        <v>4.9487960992897317E-2</v>
      </c>
      <c r="AL7">
        <f t="shared" si="2"/>
        <v>0</v>
      </c>
    </row>
    <row r="9" spans="1:38" x14ac:dyDescent="0.3">
      <c r="B9" t="s">
        <v>1</v>
      </c>
      <c r="C9" s="12">
        <f>IFERROR(SUM(Datasheet!B18,Datasheet!B20:B22)-1*Datasheet!B19,0)</f>
        <v>9732.66</v>
      </c>
      <c r="D9" s="12">
        <f>IFERROR(SUM(Datasheet!C18,Datasheet!C20:C22)-1*Datasheet!C19,0)</f>
        <v>11194.169999999998</v>
      </c>
      <c r="E9" s="12">
        <f>IFERROR(SUM(Datasheet!D18,Datasheet!D20:D22)-1*Datasheet!D19,0)</f>
        <v>12905.81</v>
      </c>
      <c r="F9" s="12">
        <f>IFERROR(SUM(Datasheet!E18,Datasheet!E20:E22)-1*Datasheet!E19,0)</f>
        <v>13158.020000000002</v>
      </c>
      <c r="G9" s="12">
        <f>IFERROR(SUM(Datasheet!F18,Datasheet!F20:F22)-1*Datasheet!F19,0)</f>
        <v>14035.069999999998</v>
      </c>
      <c r="H9" s="12">
        <f>IFERROR(SUM(Datasheet!G18,Datasheet!G20:G22)-1*Datasheet!G19,0)</f>
        <v>20590.57</v>
      </c>
      <c r="I9" s="12">
        <f>IFERROR(SUM(Datasheet!H18,Datasheet!H20:H22)-1*Datasheet!H19,0)</f>
        <v>23766.7</v>
      </c>
      <c r="J9" s="12">
        <f>IFERROR(SUM(Datasheet!I18,Datasheet!I20:I22)-1*Datasheet!I19,0)</f>
        <v>23009.99</v>
      </c>
      <c r="K9" s="12">
        <f>IFERROR(SUM(Datasheet!J18,Datasheet!J20:J22)-1*Datasheet!J19,0)</f>
        <v>22741.27</v>
      </c>
      <c r="L9" s="12">
        <f>IFERROR(SUM(Datasheet!K18,Datasheet!K20:K22)-1*Datasheet!K19,0)</f>
        <v>23489.629999999997</v>
      </c>
      <c r="M9" s="12">
        <f>L9</f>
        <v>23489.629999999997</v>
      </c>
    </row>
    <row r="10" spans="1:38" x14ac:dyDescent="0.3">
      <c r="B10" s="7" t="s">
        <v>30</v>
      </c>
      <c r="C10" s="15">
        <f>C9/C6</f>
        <v>0.64617357998511482</v>
      </c>
      <c r="D10" s="8">
        <f t="shared" ref="D10:L10" si="3">D9/D6</f>
        <v>0.66534736441687881</v>
      </c>
      <c r="E10" s="8">
        <f t="shared" si="3"/>
        <v>0.67077561326248825</v>
      </c>
      <c r="F10" s="8">
        <f t="shared" si="3"/>
        <v>0.65102455315727636</v>
      </c>
      <c r="G10" s="8">
        <f t="shared" si="3"/>
        <v>0.64639643270164715</v>
      </c>
      <c r="H10" s="8">
        <f t="shared" si="3"/>
        <v>0.70754860267314701</v>
      </c>
      <c r="I10" s="8">
        <f t="shared" si="3"/>
        <v>0.68911776329504926</v>
      </c>
      <c r="J10" s="8">
        <f t="shared" si="3"/>
        <v>0.64826496778535858</v>
      </c>
      <c r="K10" s="8">
        <f t="shared" si="3"/>
        <v>0.67072272974214886</v>
      </c>
      <c r="L10" s="8">
        <f t="shared" si="3"/>
        <v>0.66012628310730181</v>
      </c>
      <c r="M10" s="8">
        <f>M9/M6</f>
        <v>0.66012628310730181</v>
      </c>
    </row>
    <row r="12" spans="1:38" x14ac:dyDescent="0.3">
      <c r="B12" s="23" t="s">
        <v>2</v>
      </c>
      <c r="C12" s="24">
        <f>C6-C9</f>
        <v>5329.33</v>
      </c>
      <c r="D12" s="24">
        <f t="shared" ref="D12:M12" si="4">D6-D9</f>
        <v>5630.380000000001</v>
      </c>
      <c r="E12" s="24">
        <f t="shared" si="4"/>
        <v>6334.3200000000015</v>
      </c>
      <c r="F12" s="24">
        <f t="shared" si="4"/>
        <v>7053.2299999999977</v>
      </c>
      <c r="G12" s="24">
        <f t="shared" si="4"/>
        <v>7677.720000000003</v>
      </c>
      <c r="H12" s="24">
        <f t="shared" si="4"/>
        <v>8510.7099999999991</v>
      </c>
      <c r="I12" s="24">
        <f t="shared" si="4"/>
        <v>10721.889999999996</v>
      </c>
      <c r="J12" s="24">
        <f t="shared" si="4"/>
        <v>12484.740000000002</v>
      </c>
      <c r="K12" s="24">
        <f t="shared" si="4"/>
        <v>11164.350000000002</v>
      </c>
      <c r="L12" s="24">
        <f t="shared" si="4"/>
        <v>12093.910000000003</v>
      </c>
      <c r="M12" s="24">
        <f t="shared" si="4"/>
        <v>12093.910000000003</v>
      </c>
    </row>
    <row r="13" spans="1:38" x14ac:dyDescent="0.3">
      <c r="B13" s="7" t="s">
        <v>41</v>
      </c>
      <c r="C13" s="15">
        <f>C12/C6</f>
        <v>0.35382642001488518</v>
      </c>
      <c r="D13" s="8">
        <f t="shared" ref="D13:M13" si="5">D12/D6</f>
        <v>0.33465263558312119</v>
      </c>
      <c r="E13" s="8">
        <f t="shared" si="5"/>
        <v>0.3292243867375117</v>
      </c>
      <c r="F13" s="8">
        <f t="shared" si="5"/>
        <v>0.34897544684272364</v>
      </c>
      <c r="G13" s="8">
        <f t="shared" si="5"/>
        <v>0.35360356729835285</v>
      </c>
      <c r="H13" s="8">
        <f t="shared" si="5"/>
        <v>0.29245139732685294</v>
      </c>
      <c r="I13" s="8">
        <f t="shared" si="5"/>
        <v>0.31088223670495074</v>
      </c>
      <c r="J13" s="8">
        <f t="shared" si="5"/>
        <v>0.35173503221464147</v>
      </c>
      <c r="K13" s="8">
        <f t="shared" si="5"/>
        <v>0.32927727025785108</v>
      </c>
      <c r="L13" s="8">
        <f t="shared" si="5"/>
        <v>0.33987371689269824</v>
      </c>
      <c r="M13" s="8">
        <f t="shared" si="5"/>
        <v>0.33987371689269824</v>
      </c>
    </row>
    <row r="14" spans="1:38" x14ac:dyDescent="0.3">
      <c r="B14" s="7"/>
      <c r="C14" s="15"/>
      <c r="D14" s="8"/>
      <c r="E14" s="8"/>
      <c r="F14" s="8"/>
      <c r="G14" s="8"/>
      <c r="H14" s="8"/>
      <c r="I14" s="8"/>
      <c r="J14" s="8"/>
      <c r="K14" s="8"/>
      <c r="L14" s="8"/>
      <c r="M14" s="8"/>
    </row>
    <row r="15" spans="1:38" x14ac:dyDescent="0.3">
      <c r="B15" t="s">
        <v>276</v>
      </c>
      <c r="C15" s="12">
        <f>IFERROR(SUM(Datasheet!B23:B24),0)</f>
        <v>2335.5699999999997</v>
      </c>
      <c r="D15" s="12">
        <f>IFERROR(SUM(Datasheet!C23:C24),0)</f>
        <v>2426.37</v>
      </c>
      <c r="E15" s="12">
        <f>IFERROR(SUM(Datasheet!D23:D24),0)</f>
        <v>2569.38</v>
      </c>
      <c r="F15" s="12">
        <f>IFERROR(SUM(Datasheet!E23:E24),0)</f>
        <v>2891.46</v>
      </c>
      <c r="G15" s="12">
        <f>IFERROR(SUM(Datasheet!F23:F24),0)</f>
        <v>2822.12</v>
      </c>
      <c r="H15" s="12">
        <f>IFERROR(SUM(Datasheet!G23:G24),0)</f>
        <v>3707.1</v>
      </c>
      <c r="I15" s="12">
        <f>IFERROR(SUM(Datasheet!H23:H24),0)</f>
        <v>4462.05</v>
      </c>
      <c r="J15" s="12">
        <f>IFERROR(SUM(Datasheet!I23:I24),0)</f>
        <v>4899.76</v>
      </c>
      <c r="K15" s="12">
        <f>IFERROR(SUM(Datasheet!J23:J24),0)</f>
        <v>5158.1400000000003</v>
      </c>
      <c r="L15" s="12">
        <f>IFERROR(SUM(Datasheet!K23:K24),0)</f>
        <v>5394.1799999999994</v>
      </c>
      <c r="M15" s="12">
        <f>L15</f>
        <v>5394.1799999999994</v>
      </c>
    </row>
    <row r="16" spans="1:38" x14ac:dyDescent="0.3">
      <c r="B16" s="7" t="s">
        <v>246</v>
      </c>
      <c r="C16" s="15">
        <f t="shared" ref="C16:M16" si="6">C15/C6</f>
        <v>0.15506383950593511</v>
      </c>
      <c r="D16" s="8">
        <f t="shared" si="6"/>
        <v>0.14421604143944414</v>
      </c>
      <c r="E16" s="8">
        <f t="shared" si="6"/>
        <v>0.13354275672773522</v>
      </c>
      <c r="F16" s="8">
        <f t="shared" si="6"/>
        <v>0.14306190859051271</v>
      </c>
      <c r="G16" s="8">
        <f t="shared" si="6"/>
        <v>0.12997500551518251</v>
      </c>
      <c r="H16" s="8">
        <f t="shared" si="6"/>
        <v>0.1273861493377611</v>
      </c>
      <c r="I16" s="8">
        <f t="shared" si="6"/>
        <v>0.12937757095897515</v>
      </c>
      <c r="J16" s="8">
        <f t="shared" si="6"/>
        <v>0.1380419008681007</v>
      </c>
      <c r="K16" s="8">
        <f t="shared" si="6"/>
        <v>0.15213230137068723</v>
      </c>
      <c r="L16" s="8">
        <f t="shared" si="6"/>
        <v>0.15159200012140442</v>
      </c>
      <c r="M16" s="8">
        <f t="shared" si="6"/>
        <v>0.15159200012140442</v>
      </c>
    </row>
    <row r="18" spans="2:13" x14ac:dyDescent="0.3">
      <c r="B18" s="23" t="s">
        <v>3</v>
      </c>
      <c r="C18" s="24">
        <f t="shared" ref="C18:M18" si="7">IFERROR(C12-C15,0)</f>
        <v>2993.76</v>
      </c>
      <c r="D18" s="24">
        <f t="shared" si="7"/>
        <v>3204.0100000000011</v>
      </c>
      <c r="E18" s="24">
        <f t="shared" si="7"/>
        <v>3764.9400000000014</v>
      </c>
      <c r="F18" s="24">
        <f t="shared" si="7"/>
        <v>4161.7699999999977</v>
      </c>
      <c r="G18" s="24">
        <f t="shared" si="7"/>
        <v>4855.6000000000031</v>
      </c>
      <c r="H18" s="24">
        <f t="shared" si="7"/>
        <v>4803.6099999999988</v>
      </c>
      <c r="I18" s="24">
        <f t="shared" si="7"/>
        <v>6259.8399999999956</v>
      </c>
      <c r="J18" s="24">
        <f t="shared" si="7"/>
        <v>7584.9800000000014</v>
      </c>
      <c r="K18" s="24">
        <f t="shared" si="7"/>
        <v>6006.2100000000019</v>
      </c>
      <c r="L18" s="24">
        <f t="shared" si="7"/>
        <v>6699.7300000000041</v>
      </c>
      <c r="M18" s="24">
        <f t="shared" si="7"/>
        <v>6699.7300000000041</v>
      </c>
    </row>
    <row r="19" spans="2:13" x14ac:dyDescent="0.3">
      <c r="B19" s="7" t="s">
        <v>40</v>
      </c>
      <c r="C19" s="15">
        <f>C18/C6</f>
        <v>0.19876258050895004</v>
      </c>
      <c r="D19" s="8">
        <f t="shared" ref="D19:K19" si="8">D18/D6</f>
        <v>0.19043659414367703</v>
      </c>
      <c r="E19" s="8">
        <f t="shared" si="8"/>
        <v>0.19568163000977651</v>
      </c>
      <c r="F19" s="8">
        <f t="shared" si="8"/>
        <v>0.2059135382522109</v>
      </c>
      <c r="G19" s="8">
        <f t="shared" si="8"/>
        <v>0.22362856178317034</v>
      </c>
      <c r="H19" s="8">
        <f t="shared" si="8"/>
        <v>0.16506524798909186</v>
      </c>
      <c r="I19" s="8">
        <f t="shared" si="8"/>
        <v>0.1815046657459756</v>
      </c>
      <c r="J19" s="8">
        <f t="shared" si="8"/>
        <v>0.21369313134654075</v>
      </c>
      <c r="K19" s="8">
        <f t="shared" si="8"/>
        <v>0.17714496888716388</v>
      </c>
      <c r="L19" s="8">
        <f>L18/L6</f>
        <v>0.18828171677129379</v>
      </c>
      <c r="M19" s="8">
        <f>M18/M6</f>
        <v>0.18828171677129379</v>
      </c>
    </row>
    <row r="21" spans="2:13" x14ac:dyDescent="0.3">
      <c r="B21" t="s">
        <v>5</v>
      </c>
      <c r="C21" s="12">
        <f>IFERROR(Datasheet!B27,0)</f>
        <v>37.33</v>
      </c>
      <c r="D21" s="12">
        <f>IFERROR(Datasheet!C27,0)</f>
        <v>41.47</v>
      </c>
      <c r="E21" s="12">
        <f>IFERROR(Datasheet!D27,0)</f>
        <v>110.47</v>
      </c>
      <c r="F21" s="12">
        <f>IFERROR(Datasheet!E27,0)</f>
        <v>102.33</v>
      </c>
      <c r="G21" s="12">
        <f>IFERROR(Datasheet!F27,0)</f>
        <v>91.63</v>
      </c>
      <c r="H21" s="12">
        <f>IFERROR(Datasheet!G27,0)</f>
        <v>95.41</v>
      </c>
      <c r="I21" s="12">
        <f>IFERROR(Datasheet!H27,0)</f>
        <v>144.44999999999999</v>
      </c>
      <c r="J21" s="12">
        <f>IFERROR(Datasheet!I27,0)</f>
        <v>205.17</v>
      </c>
      <c r="K21" s="12">
        <f>IFERROR(Datasheet!J27,0)</f>
        <v>227.02</v>
      </c>
      <c r="L21" s="12">
        <f>IFERROR(Datasheet!K27,0)</f>
        <v>195.41</v>
      </c>
      <c r="M21" s="12">
        <f>L21</f>
        <v>195.41</v>
      </c>
    </row>
    <row r="22" spans="2:13" x14ac:dyDescent="0.3">
      <c r="B22" s="7" t="s">
        <v>244</v>
      </c>
      <c r="C22" s="15">
        <f>IFERROR(C21/SUM(C49,C50),0)</f>
        <v>7.774977610230562E-3</v>
      </c>
      <c r="D22" s="15">
        <f t="shared" ref="D22:L22" si="9">IFERROR(D21/SUM(D49,D50),0)</f>
        <v>7.7466959323775272E-3</v>
      </c>
      <c r="E22" s="15">
        <f t="shared" si="9"/>
        <v>1.6297620786363525E-2</v>
      </c>
      <c r="F22" s="15">
        <f t="shared" si="9"/>
        <v>1.7032828934337135E-2</v>
      </c>
      <c r="G22" s="15">
        <f t="shared" si="9"/>
        <v>1.213795113292401E-2</v>
      </c>
      <c r="H22" s="15">
        <f t="shared" si="9"/>
        <v>1.0430890566937107E-2</v>
      </c>
      <c r="I22" s="15">
        <f>IFERROR(I21/SUM(I49,I50),0)</f>
        <v>1.4759223876327002E-2</v>
      </c>
      <c r="J22" s="15">
        <f t="shared" si="9"/>
        <v>1.8363889095249303E-2</v>
      </c>
      <c r="K22" s="15">
        <f t="shared" si="9"/>
        <v>2.0722125263795889E-2</v>
      </c>
      <c r="L22" s="15">
        <f t="shared" si="9"/>
        <v>1.4863286063301884E-2</v>
      </c>
      <c r="M22" s="15">
        <f>L22</f>
        <v>1.4863286063301884E-2</v>
      </c>
    </row>
    <row r="24" spans="2:13" x14ac:dyDescent="0.3">
      <c r="B24" t="s">
        <v>4</v>
      </c>
      <c r="C24" s="12">
        <f>IFERROR(Datasheet!B26,0)</f>
        <v>334.79</v>
      </c>
      <c r="D24" s="12">
        <f>IFERROR(Datasheet!C26,0)</f>
        <v>360.47</v>
      </c>
      <c r="E24" s="12">
        <f>IFERROR(Datasheet!D26,0)</f>
        <v>622.14</v>
      </c>
      <c r="F24" s="12">
        <f>IFERROR(Datasheet!E26,0)</f>
        <v>780.5</v>
      </c>
      <c r="G24" s="12">
        <f>IFERROR(Datasheet!F26,0)</f>
        <v>791.27</v>
      </c>
      <c r="H24" s="12">
        <f>IFERROR(Datasheet!G26,0)</f>
        <v>816.36</v>
      </c>
      <c r="I24" s="12">
        <f>IFERROR(Datasheet!H26,0)</f>
        <v>858.02</v>
      </c>
      <c r="J24" s="12">
        <f>IFERROR(Datasheet!I26,0)</f>
        <v>853</v>
      </c>
      <c r="K24" s="12">
        <f>IFERROR(Datasheet!J26,0)</f>
        <v>1026.3399999999999</v>
      </c>
      <c r="L24" s="12">
        <f>IFERROR(Datasheet!K26,0)</f>
        <v>1228.8499999999999</v>
      </c>
      <c r="M24" s="12">
        <f>L24</f>
        <v>1228.8499999999999</v>
      </c>
    </row>
    <row r="25" spans="2:13" x14ac:dyDescent="0.3">
      <c r="B25" s="7" t="s">
        <v>245</v>
      </c>
      <c r="C25" s="15">
        <f>C24/'Raw FS'!E26</f>
        <v>8.5536535513541137E-2</v>
      </c>
      <c r="D25" s="15">
        <f>D24/'Raw FS'!F26</f>
        <v>7.6614240170031891E-2</v>
      </c>
      <c r="E25" s="15">
        <f>E24/'Raw FS'!G26</f>
        <v>7.6420587151455596E-2</v>
      </c>
      <c r="F25" s="15">
        <f>F24/'Raw FS'!H26</f>
        <v>9.4240521613136924E-2</v>
      </c>
      <c r="G25" s="15">
        <f>G24/'Raw FS'!I26</f>
        <v>9.428860819828408E-2</v>
      </c>
      <c r="H25" s="15">
        <f>H24/'Raw FS'!J26</f>
        <v>9.561489810260014E-2</v>
      </c>
      <c r="I25" s="15">
        <f>I24/'Raw FS'!K26</f>
        <v>8.867507234394377E-2</v>
      </c>
      <c r="J25" s="15">
        <f>J24/'Raw FS'!L26</f>
        <v>7.3395284804680772E-2</v>
      </c>
      <c r="K25" s="15">
        <f>K24/'Raw FS'!M26</f>
        <v>7.2795233704518042E-2</v>
      </c>
      <c r="L25" s="15">
        <f>L24/'Raw FS'!N26</f>
        <v>8.0233089579524672E-2</v>
      </c>
      <c r="M25" s="8">
        <f>L25</f>
        <v>8.0233089579524672E-2</v>
      </c>
    </row>
    <row r="27" spans="2:13" x14ac:dyDescent="0.3">
      <c r="B27" s="23" t="s">
        <v>42</v>
      </c>
      <c r="C27" s="24">
        <f>IFERROR(C18-SUM(C21,C24),0)</f>
        <v>2621.6400000000003</v>
      </c>
      <c r="D27" s="24">
        <f t="shared" ref="D27:M27" si="10">IFERROR(D18-SUM(D21,D24),0)</f>
        <v>2802.0700000000011</v>
      </c>
      <c r="E27" s="24">
        <f t="shared" si="10"/>
        <v>3032.3300000000013</v>
      </c>
      <c r="F27" s="24">
        <f t="shared" si="10"/>
        <v>3278.9399999999978</v>
      </c>
      <c r="G27" s="24">
        <f t="shared" si="10"/>
        <v>3972.700000000003</v>
      </c>
      <c r="H27" s="24">
        <f t="shared" si="10"/>
        <v>3891.8399999999988</v>
      </c>
      <c r="I27" s="24">
        <f t="shared" si="10"/>
        <v>5257.3699999999953</v>
      </c>
      <c r="J27" s="24">
        <f t="shared" si="10"/>
        <v>6526.8100000000013</v>
      </c>
      <c r="K27" s="24">
        <f t="shared" si="10"/>
        <v>4752.8500000000022</v>
      </c>
      <c r="L27" s="24">
        <f t="shared" si="10"/>
        <v>5275.4700000000039</v>
      </c>
      <c r="M27" s="24">
        <f t="shared" si="10"/>
        <v>5275.4700000000039</v>
      </c>
    </row>
    <row r="28" spans="2:13" x14ac:dyDescent="0.3">
      <c r="B28" s="7" t="s">
        <v>31</v>
      </c>
      <c r="C28" s="15">
        <f>C27/C6</f>
        <v>0.17405668175320793</v>
      </c>
      <c r="D28" s="8">
        <f t="shared" ref="D28:M28" si="11">D27/D6</f>
        <v>0.16654650495852794</v>
      </c>
      <c r="E28" s="8">
        <f t="shared" si="11"/>
        <v>0.15760444446061442</v>
      </c>
      <c r="F28" s="8">
        <f t="shared" si="11"/>
        <v>0.16223340961098387</v>
      </c>
      <c r="G28" s="8">
        <f t="shared" si="11"/>
        <v>0.18296589245325004</v>
      </c>
      <c r="H28" s="8">
        <f t="shared" si="11"/>
        <v>0.13373432371359606</v>
      </c>
      <c r="I28" s="8">
        <f t="shared" si="11"/>
        <v>0.15243795121806938</v>
      </c>
      <c r="J28" s="8">
        <f t="shared" si="11"/>
        <v>0.18388110009570438</v>
      </c>
      <c r="K28" s="8">
        <f t="shared" si="11"/>
        <v>0.14017882581117827</v>
      </c>
      <c r="L28" s="8">
        <f t="shared" si="11"/>
        <v>0.14825590708512992</v>
      </c>
      <c r="M28" s="8">
        <f t="shared" si="11"/>
        <v>0.14825590708512992</v>
      </c>
    </row>
    <row r="30" spans="2:13" x14ac:dyDescent="0.3">
      <c r="B30" t="s">
        <v>14</v>
      </c>
      <c r="C30" s="12">
        <f>IFERROR(Datasheet!B29,0)</f>
        <v>943.29</v>
      </c>
      <c r="D30" s="12">
        <f>IFERROR(Datasheet!C29,0)</f>
        <v>1040.96</v>
      </c>
      <c r="E30" s="12">
        <f>IFERROR(Datasheet!D29,0)</f>
        <v>1098.06</v>
      </c>
      <c r="F30" s="12">
        <f>IFERROR(Datasheet!E29,0)</f>
        <v>854.85</v>
      </c>
      <c r="G30" s="12">
        <f>IFERROR(Datasheet!F29,0)</f>
        <v>1097.5999999999999</v>
      </c>
      <c r="H30" s="12">
        <f>IFERROR(Datasheet!G29,0)</f>
        <v>1102.9100000000001</v>
      </c>
      <c r="I30" s="12">
        <f>IFERROR(Datasheet!H29,0)</f>
        <v>1493.5</v>
      </c>
      <c r="J30" s="12">
        <f>IFERROR(Datasheet!I29,0)</f>
        <v>1790.08</v>
      </c>
      <c r="K30" s="12">
        <f>IFERROR(Datasheet!J29,0)</f>
        <v>1393.36</v>
      </c>
      <c r="L30" s="12">
        <f>IFERROR(Datasheet!K29,0)</f>
        <v>1608.75</v>
      </c>
      <c r="M30" s="12">
        <f>L30</f>
        <v>1608.75</v>
      </c>
    </row>
    <row r="31" spans="2:13" x14ac:dyDescent="0.3">
      <c r="B31" s="7" t="s">
        <v>32</v>
      </c>
      <c r="C31" s="15">
        <f>C30/C27</f>
        <v>0.35980912711127377</v>
      </c>
      <c r="D31" s="15">
        <f t="shared" ref="D31:M31" si="12">D30/D27</f>
        <v>0.37149678630441052</v>
      </c>
      <c r="E31" s="15">
        <f t="shared" si="12"/>
        <v>0.36211757955103813</v>
      </c>
      <c r="F31" s="15">
        <f t="shared" si="12"/>
        <v>0.26070925360024905</v>
      </c>
      <c r="G31" s="15">
        <f t="shared" si="12"/>
        <v>0.2762856495582347</v>
      </c>
      <c r="H31" s="15">
        <f t="shared" si="12"/>
        <v>0.2833903757605658</v>
      </c>
      <c r="I31" s="15">
        <f t="shared" si="12"/>
        <v>0.28407739991668862</v>
      </c>
      <c r="J31" s="15">
        <f t="shared" si="12"/>
        <v>0.27426568262290452</v>
      </c>
      <c r="K31" s="15">
        <f t="shared" si="12"/>
        <v>0.29316304953869765</v>
      </c>
      <c r="L31" s="15">
        <f t="shared" si="12"/>
        <v>0.30494913249435573</v>
      </c>
      <c r="M31" s="15">
        <f t="shared" si="12"/>
        <v>0.30494913249435573</v>
      </c>
    </row>
    <row r="33" spans="1:13" x14ac:dyDescent="0.3">
      <c r="B33" s="23" t="s">
        <v>33</v>
      </c>
      <c r="C33" s="24">
        <f>IFERROR(C27-C30,0)</f>
        <v>1678.3500000000004</v>
      </c>
      <c r="D33" s="24">
        <f t="shared" ref="D33:M33" si="13">IFERROR(D27-D30,0)</f>
        <v>1761.110000000001</v>
      </c>
      <c r="E33" s="24">
        <f t="shared" si="13"/>
        <v>1934.2700000000013</v>
      </c>
      <c r="F33" s="24">
        <f t="shared" si="13"/>
        <v>2424.0899999999979</v>
      </c>
      <c r="G33" s="24">
        <f t="shared" si="13"/>
        <v>2875.1000000000031</v>
      </c>
      <c r="H33" s="24">
        <f t="shared" si="13"/>
        <v>2788.9299999999985</v>
      </c>
      <c r="I33" s="24">
        <f t="shared" si="13"/>
        <v>3763.8699999999953</v>
      </c>
      <c r="J33" s="24">
        <f t="shared" si="13"/>
        <v>4736.7300000000014</v>
      </c>
      <c r="K33" s="24">
        <f t="shared" si="13"/>
        <v>3359.4900000000025</v>
      </c>
      <c r="L33" s="24">
        <f t="shared" si="13"/>
        <v>3666.7200000000039</v>
      </c>
      <c r="M33" s="24">
        <f t="shared" si="13"/>
        <v>3666.7200000000039</v>
      </c>
    </row>
    <row r="34" spans="1:13" x14ac:dyDescent="0.3">
      <c r="B34" s="7" t="s">
        <v>34</v>
      </c>
      <c r="C34" s="15">
        <f>C33/C6</f>
        <v>0.1114294990237014</v>
      </c>
      <c r="D34" s="15">
        <f t="shared" ref="D34:M34" si="14">D33/D6</f>
        <v>0.10467501359620324</v>
      </c>
      <c r="E34" s="15">
        <f t="shared" si="14"/>
        <v>0.1005331045060507</v>
      </c>
      <c r="F34" s="15">
        <f t="shared" si="14"/>
        <v>0.1199376584822808</v>
      </c>
      <c r="G34" s="15">
        <f t="shared" si="14"/>
        <v>0.13241504200980173</v>
      </c>
      <c r="H34" s="15">
        <f t="shared" si="14"/>
        <v>9.5835303464314917E-2</v>
      </c>
      <c r="I34" s="15">
        <f t="shared" si="14"/>
        <v>0.10913377438741322</v>
      </c>
      <c r="J34" s="15">
        <f t="shared" si="14"/>
        <v>0.13344882465650537</v>
      </c>
      <c r="K34" s="15">
        <f t="shared" si="14"/>
        <v>9.9083573755619339E-2</v>
      </c>
      <c r="L34" s="15">
        <f t="shared" si="14"/>
        <v>0.10304539683235574</v>
      </c>
      <c r="M34" s="15">
        <f t="shared" si="14"/>
        <v>0.10304539683235574</v>
      </c>
    </row>
    <row r="36" spans="1:13" x14ac:dyDescent="0.3">
      <c r="B36" t="s">
        <v>46</v>
      </c>
      <c r="C36" s="17">
        <f>IFERROR(Datasheet!B93,0)</f>
        <v>95.92</v>
      </c>
      <c r="D36" s="17">
        <f>IFERROR(Datasheet!C93,0)</f>
        <v>95.92</v>
      </c>
      <c r="E36" s="17">
        <f>IFERROR(Datasheet!D93,0)</f>
        <v>95.92</v>
      </c>
      <c r="F36" s="17">
        <f>IFERROR(Datasheet!E93,0)</f>
        <v>95.92</v>
      </c>
      <c r="G36" s="17">
        <f>IFERROR(Datasheet!F93,0)</f>
        <v>95.92</v>
      </c>
      <c r="H36" s="17">
        <f>IFERROR(Datasheet!G93,0)</f>
        <v>95.92</v>
      </c>
      <c r="I36" s="17">
        <f>IFERROR(Datasheet!H93,0)</f>
        <v>95.92</v>
      </c>
      <c r="J36" s="17">
        <f>IFERROR(Datasheet!I93,0)</f>
        <v>95.92</v>
      </c>
      <c r="K36" s="17">
        <f>IFERROR(Datasheet!J93,0)</f>
        <v>95.92</v>
      </c>
      <c r="L36" s="17">
        <f>IFERROR(Datasheet!K93,0)</f>
        <v>95.92</v>
      </c>
      <c r="M36" s="17">
        <v>29.47</v>
      </c>
    </row>
    <row r="38" spans="1:13" x14ac:dyDescent="0.3">
      <c r="B38" t="s">
        <v>35</v>
      </c>
      <c r="C38" s="12">
        <f>IFERROR(C33/C36,0)</f>
        <v>17.497393661384489</v>
      </c>
      <c r="D38" s="12">
        <f t="shared" ref="D38:L38" si="15">IFERROR(D33/D36,0)</f>
        <v>18.360195996663897</v>
      </c>
      <c r="E38" s="12">
        <f t="shared" si="15"/>
        <v>20.165450375312773</v>
      </c>
      <c r="F38" s="12">
        <f t="shared" si="15"/>
        <v>25.271997497914906</v>
      </c>
      <c r="G38" s="12">
        <f t="shared" si="15"/>
        <v>29.973936613844902</v>
      </c>
      <c r="H38" s="12">
        <f t="shared" si="15"/>
        <v>29.075583819849857</v>
      </c>
      <c r="I38" s="12">
        <f t="shared" si="15"/>
        <v>39.23967889908252</v>
      </c>
      <c r="J38" s="12">
        <f t="shared" si="15"/>
        <v>49.382089241034208</v>
      </c>
      <c r="K38" s="12">
        <f t="shared" si="15"/>
        <v>35.023874061718125</v>
      </c>
      <c r="L38" s="12">
        <f t="shared" si="15"/>
        <v>38.226855713094288</v>
      </c>
      <c r="M38" s="12">
        <f>L38</f>
        <v>38.226855713094288</v>
      </c>
    </row>
    <row r="39" spans="1:13" x14ac:dyDescent="0.3">
      <c r="B39" s="7" t="s">
        <v>73</v>
      </c>
      <c r="C39" s="15"/>
      <c r="D39" s="15">
        <f>IFERROR(D38/C38-1,0)</f>
        <v>4.9310334554771629E-2</v>
      </c>
      <c r="E39" s="15">
        <f t="shared" ref="E39:L39" si="16">IFERROR(E38/D38-1,0)</f>
        <v>9.8324352255111824E-2</v>
      </c>
      <c r="F39" s="15">
        <f t="shared" si="16"/>
        <v>0.25323248564057566</v>
      </c>
      <c r="G39" s="15">
        <f t="shared" si="16"/>
        <v>0.1860533231026924</v>
      </c>
      <c r="H39" s="15">
        <f t="shared" si="16"/>
        <v>-2.9971131438908061E-2</v>
      </c>
      <c r="I39" s="15">
        <f t="shared" si="16"/>
        <v>0.34957492658474676</v>
      </c>
      <c r="J39" s="15">
        <f t="shared" si="16"/>
        <v>0.25847332665581102</v>
      </c>
      <c r="K39" s="15">
        <f t="shared" si="16"/>
        <v>-0.29075754792863395</v>
      </c>
      <c r="L39" s="15">
        <f t="shared" si="16"/>
        <v>9.1451381013189836E-2</v>
      </c>
      <c r="M39" s="15">
        <f>L39</f>
        <v>9.1451381013189836E-2</v>
      </c>
    </row>
    <row r="40" spans="1:13" x14ac:dyDescent="0.3">
      <c r="B40" s="7"/>
      <c r="C40" s="15"/>
      <c r="D40" s="15"/>
      <c r="E40" s="15"/>
      <c r="F40" s="15"/>
      <c r="G40" s="15"/>
      <c r="H40" s="15"/>
      <c r="I40" s="15"/>
      <c r="J40" s="15"/>
      <c r="K40" s="15"/>
      <c r="L40" s="15"/>
      <c r="M40" s="15"/>
    </row>
    <row r="41" spans="1:13" x14ac:dyDescent="0.3">
      <c r="B41" t="s">
        <v>36</v>
      </c>
      <c r="C41" s="12">
        <f>IFERROR(Datasheet!B31/Datasheet!B93,0)</f>
        <v>10.300041701417848</v>
      </c>
      <c r="D41" s="12">
        <f>IFERROR(Datasheet!C31/Datasheet!C93,0)</f>
        <v>8.6999582985821515</v>
      </c>
      <c r="E41" s="12">
        <f>IFERROR(Datasheet!D31/Datasheet!D93,0)</f>
        <v>10.5</v>
      </c>
      <c r="F41" s="12">
        <f>IFERROR(Datasheet!E31/Datasheet!E93,0)</f>
        <v>12</v>
      </c>
      <c r="G41" s="12">
        <f>IFERROR(Datasheet!F31/Datasheet!F93,0)</f>
        <v>17.849979149291077</v>
      </c>
      <c r="H41" s="12">
        <f>IFERROR(Datasheet!G31/Datasheet!G93,0)</f>
        <v>19.150020850708923</v>
      </c>
      <c r="I41" s="12">
        <f>IFERROR(Datasheet!H31/Datasheet!H93,0)</f>
        <v>25.650020850708923</v>
      </c>
      <c r="J41" s="12">
        <f>IFERROR(Datasheet!I31/Datasheet!I93,0)</f>
        <v>33.300041701417847</v>
      </c>
      <c r="K41" s="12">
        <f>IFERROR(Datasheet!J31/Datasheet!J93,0)</f>
        <v>24.80004170141785</v>
      </c>
      <c r="L41" s="12">
        <f>IFERROR(Datasheet!K31/Datasheet!K93,0)</f>
        <v>27.5</v>
      </c>
      <c r="M41" s="12">
        <f>L41</f>
        <v>27.5</v>
      </c>
    </row>
    <row r="42" spans="1:13" x14ac:dyDescent="0.3">
      <c r="B42" s="7" t="s">
        <v>74</v>
      </c>
      <c r="C42" s="15">
        <f>IFERROR(C41/C38,0)</f>
        <v>0.5886614830041409</v>
      </c>
      <c r="D42" s="15">
        <f t="shared" ref="D42:M42" si="17">IFERROR(D41/D38,0)</f>
        <v>0.47384887939992359</v>
      </c>
      <c r="E42" s="15">
        <f t="shared" si="17"/>
        <v>0.52069256101785133</v>
      </c>
      <c r="F42" s="15">
        <f t="shared" si="17"/>
        <v>0.47483385517864479</v>
      </c>
      <c r="G42" s="15">
        <f t="shared" si="17"/>
        <v>0.59551667768077576</v>
      </c>
      <c r="H42" s="15">
        <f t="shared" si="17"/>
        <v>0.65862893654555732</v>
      </c>
      <c r="I42" s="15">
        <f t="shared" si="17"/>
        <v>0.65367560516170931</v>
      </c>
      <c r="J42" s="15">
        <f t="shared" si="17"/>
        <v>0.67433440369199826</v>
      </c>
      <c r="K42" s="15">
        <f t="shared" si="17"/>
        <v>0.70808962074600557</v>
      </c>
      <c r="L42" s="15">
        <f t="shared" si="17"/>
        <v>0.71938953615220058</v>
      </c>
      <c r="M42" s="15">
        <f t="shared" si="17"/>
        <v>0.71938953615220058</v>
      </c>
    </row>
    <row r="44" spans="1:13" x14ac:dyDescent="0.3">
      <c r="B44" s="7" t="s">
        <v>37</v>
      </c>
      <c r="C44" s="15">
        <f>IFERROR(IF(C38&gt;C41,1-C42,0),0)</f>
        <v>0.4113385169958591</v>
      </c>
      <c r="D44" s="15">
        <f t="shared" ref="D44:L44" si="18">IFERROR(IF(D38&gt;D41,1-D42,0),0)</f>
        <v>0.52615112060007641</v>
      </c>
      <c r="E44" s="15">
        <f t="shared" si="18"/>
        <v>0.47930743898214867</v>
      </c>
      <c r="F44" s="15">
        <f t="shared" si="18"/>
        <v>0.52516614482135515</v>
      </c>
      <c r="G44" s="15">
        <f t="shared" si="18"/>
        <v>0.40448332231922424</v>
      </c>
      <c r="H44" s="15">
        <f t="shared" si="18"/>
        <v>0.34137106345444268</v>
      </c>
      <c r="I44" s="15">
        <f t="shared" si="18"/>
        <v>0.34632439483829069</v>
      </c>
      <c r="J44" s="15">
        <f t="shared" si="18"/>
        <v>0.32566559630800174</v>
      </c>
      <c r="K44" s="15">
        <f t="shared" si="18"/>
        <v>0.29191037925399443</v>
      </c>
      <c r="L44" s="15">
        <f t="shared" si="18"/>
        <v>0.28061046384779942</v>
      </c>
      <c r="M44" s="15">
        <f>L44</f>
        <v>0.28061046384779942</v>
      </c>
    </row>
    <row r="46" spans="1:13" x14ac:dyDescent="0.3">
      <c r="A46" s="1" t="s">
        <v>7</v>
      </c>
      <c r="B46" s="2" t="s">
        <v>75</v>
      </c>
      <c r="C46" s="16"/>
      <c r="D46" s="16"/>
      <c r="E46" s="16"/>
      <c r="F46" s="16"/>
      <c r="G46" s="16"/>
      <c r="H46" s="16"/>
      <c r="I46" s="16"/>
      <c r="J46" s="16"/>
      <c r="K46" s="16"/>
      <c r="L46" s="16"/>
      <c r="M46" s="16"/>
    </row>
    <row r="47" spans="1:13" x14ac:dyDescent="0.3">
      <c r="B47" t="s">
        <v>17</v>
      </c>
      <c r="C47" s="12">
        <f>IFERROR(Datasheet!B57,0)</f>
        <v>95.92</v>
      </c>
      <c r="D47" s="12">
        <f>IFERROR(Datasheet!C57,0)</f>
        <v>95.92</v>
      </c>
      <c r="E47" s="12">
        <f>IFERROR(Datasheet!D57,0)</f>
        <v>95.92</v>
      </c>
      <c r="F47" s="12">
        <f>IFERROR(Datasheet!E57,0)</f>
        <v>95.92</v>
      </c>
      <c r="G47" s="12">
        <f>IFERROR(Datasheet!F57,0)</f>
        <v>95.92</v>
      </c>
      <c r="H47" s="12">
        <f>IFERROR(Datasheet!G57,0)</f>
        <v>95.92</v>
      </c>
      <c r="I47" s="12">
        <f>IFERROR(Datasheet!H57,0)</f>
        <v>95.92</v>
      </c>
      <c r="J47" s="12">
        <f>IFERROR(Datasheet!I57,0)</f>
        <v>95.92</v>
      </c>
      <c r="K47" s="12">
        <f>IFERROR(Datasheet!J57,0)</f>
        <v>95.92</v>
      </c>
      <c r="L47" s="12">
        <f>IFERROR(Datasheet!K57,0)</f>
        <v>95.92</v>
      </c>
      <c r="M47" s="12">
        <f>L47</f>
        <v>95.92</v>
      </c>
    </row>
    <row r="48" spans="1:13" x14ac:dyDescent="0.3">
      <c r="B48" t="s">
        <v>18</v>
      </c>
      <c r="C48" s="12">
        <f>IFERROR(Datasheet!B58,0)</f>
        <v>7507.97</v>
      </c>
      <c r="D48" s="12">
        <f>IFERROR(Datasheet!C58,0)</f>
        <v>8314.31</v>
      </c>
      <c r="E48" s="12">
        <f>IFERROR(Datasheet!D58,0)</f>
        <v>9374.6299999999992</v>
      </c>
      <c r="F48" s="12">
        <f>IFERROR(Datasheet!E58,0)</f>
        <v>10034.24</v>
      </c>
      <c r="G48" s="12">
        <f>IFERROR(Datasheet!F58,0)</f>
        <v>12710.37</v>
      </c>
      <c r="H48" s="12">
        <f>IFERROR(Datasheet!G58,0)</f>
        <v>13715.64</v>
      </c>
      <c r="I48" s="12">
        <f>IFERROR(Datasheet!H58,0)</f>
        <v>15896.31</v>
      </c>
      <c r="J48" s="12">
        <f>IFERROR(Datasheet!I58,0)</f>
        <v>18632.38</v>
      </c>
      <c r="K48" s="12">
        <f>IFERROR(Datasheet!J58,0)</f>
        <v>19303.89</v>
      </c>
      <c r="L48" s="12">
        <f>IFERROR(Datasheet!K58,0)</f>
        <v>21275.67</v>
      </c>
      <c r="M48" s="12">
        <f t="shared" ref="M48:M51" si="19">L48</f>
        <v>21275.67</v>
      </c>
    </row>
    <row r="49" spans="2:13" x14ac:dyDescent="0.3">
      <c r="B49" t="s">
        <v>19</v>
      </c>
      <c r="C49" s="12">
        <f>IFERROR(Datasheet!B59,0)</f>
        <v>560.34</v>
      </c>
      <c r="D49" s="12">
        <f>IFERROR(Datasheet!C59,0)</f>
        <v>533.42999999999995</v>
      </c>
      <c r="E49" s="12">
        <f>IFERROR(Datasheet!D59,0)</f>
        <v>1319.6</v>
      </c>
      <c r="F49" s="12">
        <f>IFERROR(Datasheet!E59,0)</f>
        <v>1118.5</v>
      </c>
      <c r="G49" s="12">
        <f>IFERROR(Datasheet!F59,0)</f>
        <v>1093.1199999999999</v>
      </c>
      <c r="H49" s="12">
        <f>IFERROR(Datasheet!G59,0)</f>
        <v>1586.88</v>
      </c>
      <c r="I49" s="12">
        <f>IFERROR(Datasheet!H59,0)</f>
        <v>1932.62</v>
      </c>
      <c r="J49" s="12">
        <f>IFERROR(Datasheet!I59,0)</f>
        <v>2474.38</v>
      </c>
      <c r="K49" s="12">
        <f>IFERROR(Datasheet!J59,0)</f>
        <v>2290.29</v>
      </c>
      <c r="L49" s="12">
        <f>IFERROR(Datasheet!K59,0)</f>
        <v>3928.93</v>
      </c>
      <c r="M49" s="12">
        <f t="shared" si="19"/>
        <v>3928.93</v>
      </c>
    </row>
    <row r="50" spans="2:13" x14ac:dyDescent="0.3">
      <c r="B50" t="s">
        <v>20</v>
      </c>
      <c r="C50" s="12">
        <f>IFERROR(Datasheet!B60,0)</f>
        <v>4240.96</v>
      </c>
      <c r="D50" s="12">
        <f>IFERROR(Datasheet!C60,0)</f>
        <v>4819.82</v>
      </c>
      <c r="E50" s="12">
        <f>IFERROR(Datasheet!D60,0)</f>
        <v>5458.69</v>
      </c>
      <c r="F50" s="12">
        <f>IFERROR(Datasheet!E60,0)</f>
        <v>4889.3100000000004</v>
      </c>
      <c r="G50" s="12">
        <f>IFERROR(Datasheet!F60,0)</f>
        <v>6455.93</v>
      </c>
      <c r="H50" s="12">
        <f>IFERROR(Datasheet!G60,0)</f>
        <v>7559.99</v>
      </c>
      <c r="I50" s="12">
        <f>IFERROR(Datasheet!H60,0)</f>
        <v>7854.48</v>
      </c>
      <c r="J50" s="12">
        <f>IFERROR(Datasheet!I60,0)</f>
        <v>8698.09</v>
      </c>
      <c r="K50" s="12">
        <f>IFERROR(Datasheet!J60,0)</f>
        <v>8665.15</v>
      </c>
      <c r="L50" s="12">
        <f>IFERROR(Datasheet!K60,0)</f>
        <v>9218.23</v>
      </c>
      <c r="M50" s="12">
        <f t="shared" si="19"/>
        <v>9218.23</v>
      </c>
    </row>
    <row r="51" spans="2:13" x14ac:dyDescent="0.3">
      <c r="B51" s="1" t="s">
        <v>76</v>
      </c>
      <c r="C51" s="21">
        <f>SUM(C47:C50)</f>
        <v>12405.19</v>
      </c>
      <c r="D51" s="21">
        <f t="shared" ref="D51:L51" si="20">SUM(D47:D50)</f>
        <v>13763.48</v>
      </c>
      <c r="E51" s="21">
        <f t="shared" si="20"/>
        <v>16248.84</v>
      </c>
      <c r="F51" s="21">
        <f t="shared" si="20"/>
        <v>16137.970000000001</v>
      </c>
      <c r="G51" s="21">
        <f t="shared" si="20"/>
        <v>20355.34</v>
      </c>
      <c r="H51" s="21">
        <f t="shared" si="20"/>
        <v>22958.43</v>
      </c>
      <c r="I51" s="21">
        <f t="shared" si="20"/>
        <v>25779.329999999998</v>
      </c>
      <c r="J51" s="21">
        <f t="shared" si="20"/>
        <v>29900.77</v>
      </c>
      <c r="K51" s="21">
        <f t="shared" si="20"/>
        <v>30355.25</v>
      </c>
      <c r="L51" s="21">
        <f t="shared" si="20"/>
        <v>34518.75</v>
      </c>
      <c r="M51" s="21">
        <f t="shared" si="19"/>
        <v>34518.75</v>
      </c>
    </row>
    <row r="53" spans="2:13" x14ac:dyDescent="0.3">
      <c r="B53" t="s">
        <v>77</v>
      </c>
      <c r="C53" s="12">
        <f>IFERROR(Datasheet!B62,0)</f>
        <v>3303.74</v>
      </c>
      <c r="D53" s="12">
        <f>IFERROR(Datasheet!C62,0)</f>
        <v>3732.24</v>
      </c>
      <c r="E53" s="12">
        <f>IFERROR(Datasheet!D62,0)</f>
        <v>6496.56</v>
      </c>
      <c r="F53" s="12">
        <f>IFERROR(Datasheet!E62,0)</f>
        <v>6272.31</v>
      </c>
      <c r="G53" s="12">
        <f>IFERROR(Datasheet!F62,0)</f>
        <v>5858.52</v>
      </c>
      <c r="H53" s="12">
        <f>IFERROR(Datasheet!G62,0)</f>
        <v>5519.06</v>
      </c>
      <c r="I53" s="12">
        <f>IFERROR(Datasheet!H62,0)</f>
        <v>5770.46</v>
      </c>
      <c r="J53" s="12">
        <f>IFERROR(Datasheet!I62,0)</f>
        <v>7146.62</v>
      </c>
      <c r="K53" s="12">
        <f>IFERROR(Datasheet!J62,0)</f>
        <v>9220.1</v>
      </c>
      <c r="L53" s="12">
        <f>IFERROR(Datasheet!K62,0)</f>
        <v>9640.2800000000007</v>
      </c>
      <c r="M53" s="12">
        <f>L53</f>
        <v>9640.2800000000007</v>
      </c>
    </row>
    <row r="54" spans="2:13" x14ac:dyDescent="0.3">
      <c r="B54" t="s">
        <v>22</v>
      </c>
      <c r="C54" s="12">
        <f>IFERROR(Datasheet!B63,0)</f>
        <v>257.54000000000002</v>
      </c>
      <c r="D54" s="12">
        <f>IFERROR(Datasheet!C63,0)</f>
        <v>1405.11</v>
      </c>
      <c r="E54" s="12">
        <f>IFERROR(Datasheet!D63,0)</f>
        <v>209.67</v>
      </c>
      <c r="F54" s="12">
        <f>IFERROR(Datasheet!E63,0)</f>
        <v>140.24</v>
      </c>
      <c r="G54" s="12">
        <f>IFERROR(Datasheet!F63,0)</f>
        <v>182.98</v>
      </c>
      <c r="H54" s="12">
        <f>IFERROR(Datasheet!G63,0)</f>
        <v>426.43</v>
      </c>
      <c r="I54" s="12">
        <f>IFERROR(Datasheet!H63,0)</f>
        <v>1019.59</v>
      </c>
      <c r="J54" s="12">
        <f>IFERROR(Datasheet!I63,0)</f>
        <v>2698.37</v>
      </c>
      <c r="K54" s="12">
        <f>IFERROR(Datasheet!J63,0)</f>
        <v>1254.49</v>
      </c>
      <c r="L54" s="12">
        <f>IFERROR(Datasheet!K63,0)</f>
        <v>1848.67</v>
      </c>
      <c r="M54" s="12">
        <f t="shared" ref="M54:M57" si="21">L54</f>
        <v>1848.67</v>
      </c>
    </row>
    <row r="55" spans="2:13" x14ac:dyDescent="0.3">
      <c r="B55" t="s">
        <v>23</v>
      </c>
      <c r="C55" s="12">
        <f>IFERROR(Datasheet!B64,0)</f>
        <v>2651.99</v>
      </c>
      <c r="D55" s="12">
        <f>IFERROR(Datasheet!C64,0)</f>
        <v>2140.6999999999998</v>
      </c>
      <c r="E55" s="12">
        <f>IFERROR(Datasheet!D64,0)</f>
        <v>2568.58</v>
      </c>
      <c r="F55" s="12">
        <f>IFERROR(Datasheet!E64,0)</f>
        <v>2018.85</v>
      </c>
      <c r="G55" s="12">
        <f>IFERROR(Datasheet!F64,0)</f>
        <v>4736.8</v>
      </c>
      <c r="H55" s="12">
        <f>IFERROR(Datasheet!G64,0)</f>
        <v>3247.53</v>
      </c>
      <c r="I55" s="12">
        <f>IFERROR(Datasheet!H64,0)</f>
        <v>4261.71</v>
      </c>
      <c r="J55" s="12">
        <f>IFERROR(Datasheet!I64,0)</f>
        <v>4587.92</v>
      </c>
      <c r="K55" s="12">
        <f>IFERROR(Datasheet!J64,0)</f>
        <v>4724.75</v>
      </c>
      <c r="L55" s="12">
        <f>IFERROR(Datasheet!K64,0)</f>
        <v>7061.74</v>
      </c>
      <c r="M55" s="12">
        <f t="shared" si="21"/>
        <v>7061.74</v>
      </c>
    </row>
    <row r="56" spans="2:13" x14ac:dyDescent="0.3">
      <c r="B56" t="s">
        <v>24</v>
      </c>
      <c r="C56" s="12">
        <f>IFERROR(Datasheet!B65-SUM(Datasheet!B67:B69),0)</f>
        <v>1317.17</v>
      </c>
      <c r="D56" s="12">
        <f>IFERROR(Datasheet!C65-SUM(Datasheet!C67:C69),0)</f>
        <v>1691.8400000000001</v>
      </c>
      <c r="E56" s="12">
        <f>IFERROR(Datasheet!D65-SUM(Datasheet!D67:D69),0)</f>
        <v>1471.9599999999991</v>
      </c>
      <c r="F56" s="12">
        <f>IFERROR(Datasheet!E65-SUM(Datasheet!E67:E69),0)</f>
        <v>1738.71</v>
      </c>
      <c r="G56" s="12">
        <f>IFERROR(Datasheet!F65-SUM(Datasheet!F67:F69),0)</f>
        <v>2565.5200000000004</v>
      </c>
      <c r="H56" s="12">
        <f>IFERROR(Datasheet!G65-SUM(Datasheet!G67:G69),0)</f>
        <v>2876.66</v>
      </c>
      <c r="I56" s="12">
        <f>IFERROR(Datasheet!H65-SUM(Datasheet!H67:H69),0)</f>
        <v>3036.17</v>
      </c>
      <c r="J56" s="12">
        <f>IFERROR(Datasheet!I65-SUM(Datasheet!I67:I69),0)</f>
        <v>3571.3900000000012</v>
      </c>
      <c r="K56" s="12">
        <f>IFERROR(Datasheet!J65-SUM(Datasheet!J67:J69),0)</f>
        <v>3341.01</v>
      </c>
      <c r="L56" s="12">
        <f>IFERROR(Datasheet!K65-SUM(Datasheet!K67:K69),0)</f>
        <v>4688.8899999999994</v>
      </c>
      <c r="M56" s="12">
        <f t="shared" si="21"/>
        <v>4688.8899999999994</v>
      </c>
    </row>
    <row r="57" spans="2:13" x14ac:dyDescent="0.3">
      <c r="B57" s="1" t="s">
        <v>78</v>
      </c>
      <c r="C57" s="21">
        <f>SUM(C53:C56)</f>
        <v>7530.44</v>
      </c>
      <c r="D57" s="21">
        <f t="shared" ref="D57:L57" si="22">SUM(D53:D56)</f>
        <v>8969.89</v>
      </c>
      <c r="E57" s="21">
        <f t="shared" si="22"/>
        <v>10746.77</v>
      </c>
      <c r="F57" s="21">
        <f t="shared" si="22"/>
        <v>10170.11</v>
      </c>
      <c r="G57" s="21">
        <f t="shared" si="22"/>
        <v>13343.82</v>
      </c>
      <c r="H57" s="21">
        <f t="shared" si="22"/>
        <v>12069.68</v>
      </c>
      <c r="I57" s="21">
        <f t="shared" si="22"/>
        <v>14087.93</v>
      </c>
      <c r="J57" s="21">
        <f t="shared" si="22"/>
        <v>18004.300000000003</v>
      </c>
      <c r="K57" s="21">
        <f t="shared" si="22"/>
        <v>18540.349999999999</v>
      </c>
      <c r="L57" s="21">
        <f t="shared" si="22"/>
        <v>23239.58</v>
      </c>
      <c r="M57" s="21">
        <f t="shared" si="21"/>
        <v>23239.58</v>
      </c>
    </row>
    <row r="58" spans="2:13" x14ac:dyDescent="0.3">
      <c r="B58" s="1"/>
      <c r="C58" s="12"/>
      <c r="D58" s="12"/>
      <c r="E58" s="12"/>
      <c r="F58" s="12"/>
      <c r="G58" s="12"/>
      <c r="H58" s="12"/>
      <c r="I58" s="12"/>
      <c r="J58" s="12"/>
      <c r="K58" s="12"/>
      <c r="L58" s="12"/>
      <c r="M58" s="12"/>
    </row>
    <row r="59" spans="2:13" x14ac:dyDescent="0.3">
      <c r="B59" t="s">
        <v>68</v>
      </c>
      <c r="C59" s="12">
        <f>IFERROR(Datasheet!B67,0)</f>
        <v>1446.6</v>
      </c>
      <c r="D59" s="12">
        <f>IFERROR(Datasheet!C67,0)</f>
        <v>1730.63</v>
      </c>
      <c r="E59" s="12">
        <f>IFERROR(Datasheet!D67,0)</f>
        <v>1907.33</v>
      </c>
      <c r="F59" s="12">
        <f>IFERROR(Datasheet!E67,0)</f>
        <v>1795.22</v>
      </c>
      <c r="G59" s="12">
        <f>IFERROR(Datasheet!F67,0)</f>
        <v>2602.17</v>
      </c>
      <c r="H59" s="12">
        <f>IFERROR(Datasheet!G67,0)</f>
        <v>3871.44</v>
      </c>
      <c r="I59" s="12">
        <f>IFERROR(Datasheet!H67,0)</f>
        <v>4636.9399999999996</v>
      </c>
      <c r="J59" s="12">
        <f>IFERROR(Datasheet!I67,0)</f>
        <v>4889.05</v>
      </c>
      <c r="K59" s="12">
        <f>IFERROR(Datasheet!J67,0)</f>
        <v>4313.6499999999996</v>
      </c>
      <c r="L59" s="12">
        <f>IFERROR(Datasheet!K67,0)</f>
        <v>4461.8</v>
      </c>
      <c r="M59" s="12">
        <f>L59</f>
        <v>4461.8</v>
      </c>
    </row>
    <row r="60" spans="2:13" x14ac:dyDescent="0.3">
      <c r="B60" t="s">
        <v>25</v>
      </c>
      <c r="C60" s="12">
        <f>IFERROR(Datasheet!B68,0)</f>
        <v>2626.94</v>
      </c>
      <c r="D60" s="12">
        <f>IFERROR(Datasheet!C68,0)</f>
        <v>2658.31</v>
      </c>
      <c r="E60" s="12">
        <f>IFERROR(Datasheet!D68,0)</f>
        <v>3149.86</v>
      </c>
      <c r="F60" s="12">
        <f>IFERROR(Datasheet!E68,0)</f>
        <v>3389.81</v>
      </c>
      <c r="G60" s="12">
        <f>IFERROR(Datasheet!F68,0)</f>
        <v>3798.6</v>
      </c>
      <c r="H60" s="12">
        <f>IFERROR(Datasheet!G68,0)</f>
        <v>6152.98</v>
      </c>
      <c r="I60" s="12">
        <f>IFERROR(Datasheet!H68,0)</f>
        <v>6210.64</v>
      </c>
      <c r="J60" s="12">
        <f>IFERROR(Datasheet!I68,0)</f>
        <v>5923.41</v>
      </c>
      <c r="K60" s="12">
        <f>IFERROR(Datasheet!J68,0)</f>
        <v>6719.27</v>
      </c>
      <c r="L60" s="12">
        <f>IFERROR(Datasheet!K68,0)</f>
        <v>5743.69</v>
      </c>
      <c r="M60" s="12">
        <f t="shared" ref="M60:M62" si="23">L60</f>
        <v>5743.69</v>
      </c>
    </row>
    <row r="61" spans="2:13" x14ac:dyDescent="0.3">
      <c r="B61" t="s">
        <v>69</v>
      </c>
      <c r="C61" s="12">
        <f>IFERROR(Datasheet!B69,0)</f>
        <v>801.21</v>
      </c>
      <c r="D61" s="12">
        <f>IFERROR(Datasheet!C69,0)</f>
        <v>404.65</v>
      </c>
      <c r="E61" s="12">
        <f>IFERROR(Datasheet!D69,0)</f>
        <v>444.88</v>
      </c>
      <c r="F61" s="12">
        <f>IFERROR(Datasheet!E69,0)</f>
        <v>782.83</v>
      </c>
      <c r="G61" s="12">
        <f>IFERROR(Datasheet!F69,0)</f>
        <v>610.75</v>
      </c>
      <c r="H61" s="12">
        <f>IFERROR(Datasheet!G69,0)</f>
        <v>864.33</v>
      </c>
      <c r="I61" s="12">
        <f>IFERROR(Datasheet!H69,0)</f>
        <v>843.82</v>
      </c>
      <c r="J61" s="12">
        <f>IFERROR(Datasheet!I69,0)</f>
        <v>1084.01</v>
      </c>
      <c r="K61" s="12">
        <f>IFERROR(Datasheet!J69,0)</f>
        <v>781.98</v>
      </c>
      <c r="L61" s="12">
        <f>IFERROR(Datasheet!K69,0)</f>
        <v>1073.68</v>
      </c>
      <c r="M61" s="12">
        <f t="shared" si="23"/>
        <v>1073.68</v>
      </c>
    </row>
    <row r="62" spans="2:13" x14ac:dyDescent="0.3">
      <c r="B62" s="1" t="s">
        <v>79</v>
      </c>
      <c r="C62" s="21">
        <f>SUM(C59:C61)</f>
        <v>4874.75</v>
      </c>
      <c r="D62" s="21">
        <f t="shared" ref="D62:L62" si="24">SUM(D59:D61)</f>
        <v>4793.59</v>
      </c>
      <c r="E62" s="21">
        <f t="shared" si="24"/>
        <v>5502.0700000000006</v>
      </c>
      <c r="F62" s="21">
        <f t="shared" si="24"/>
        <v>5967.86</v>
      </c>
      <c r="G62" s="21">
        <f t="shared" si="24"/>
        <v>7011.52</v>
      </c>
      <c r="H62" s="21">
        <f t="shared" si="24"/>
        <v>10888.75</v>
      </c>
      <c r="I62" s="21">
        <f t="shared" si="24"/>
        <v>11691.4</v>
      </c>
      <c r="J62" s="21">
        <f t="shared" si="24"/>
        <v>11896.47</v>
      </c>
      <c r="K62" s="21">
        <f t="shared" si="24"/>
        <v>11814.9</v>
      </c>
      <c r="L62" s="21">
        <f t="shared" si="24"/>
        <v>11279.17</v>
      </c>
      <c r="M62" s="21">
        <f t="shared" si="23"/>
        <v>11279.17</v>
      </c>
    </row>
    <row r="64" spans="2:13" x14ac:dyDescent="0.3">
      <c r="B64" s="1" t="s">
        <v>80</v>
      </c>
      <c r="C64" s="21">
        <f>IFERROR(SUM(C57,C62),0)</f>
        <v>12405.189999999999</v>
      </c>
      <c r="D64" s="21">
        <f t="shared" ref="D64:L64" si="25">IFERROR(SUM(D57,D62),0)</f>
        <v>13763.48</v>
      </c>
      <c r="E64" s="21">
        <f t="shared" si="25"/>
        <v>16248.84</v>
      </c>
      <c r="F64" s="21">
        <f t="shared" si="25"/>
        <v>16137.970000000001</v>
      </c>
      <c r="G64" s="21">
        <f t="shared" si="25"/>
        <v>20355.34</v>
      </c>
      <c r="H64" s="21">
        <f t="shared" si="25"/>
        <v>22958.43</v>
      </c>
      <c r="I64" s="21">
        <f t="shared" si="25"/>
        <v>25779.33</v>
      </c>
      <c r="J64" s="21">
        <f t="shared" si="25"/>
        <v>29900.770000000004</v>
      </c>
      <c r="K64" s="21">
        <f t="shared" si="25"/>
        <v>30355.25</v>
      </c>
      <c r="L64" s="21">
        <f t="shared" si="25"/>
        <v>34518.75</v>
      </c>
      <c r="M64" s="21">
        <f>IFERROR(SUM(M57,M62),0)</f>
        <v>34518.75</v>
      </c>
    </row>
    <row r="66" spans="1:13" x14ac:dyDescent="0.3">
      <c r="B66" s="13" t="s">
        <v>81</v>
      </c>
      <c r="C66" s="12">
        <f>C51-C64</f>
        <v>0</v>
      </c>
      <c r="D66" s="12">
        <f t="shared" ref="D66:M66" si="26">D51-D64</f>
        <v>0</v>
      </c>
      <c r="E66" s="12">
        <f t="shared" si="26"/>
        <v>0</v>
      </c>
      <c r="F66" s="12">
        <f t="shared" si="26"/>
        <v>0</v>
      </c>
      <c r="G66" s="12">
        <f t="shared" si="26"/>
        <v>0</v>
      </c>
      <c r="H66" s="12">
        <f t="shared" si="26"/>
        <v>0</v>
      </c>
      <c r="I66" s="12">
        <f t="shared" si="26"/>
        <v>0</v>
      </c>
      <c r="J66" s="12">
        <f t="shared" si="26"/>
        <v>0</v>
      </c>
      <c r="K66" s="12">
        <f t="shared" si="26"/>
        <v>0</v>
      </c>
      <c r="L66" s="12">
        <f t="shared" si="26"/>
        <v>0</v>
      </c>
      <c r="M66" s="12">
        <f t="shared" si="26"/>
        <v>0</v>
      </c>
    </row>
    <row r="68" spans="1:13" x14ac:dyDescent="0.3">
      <c r="A68" s="1" t="s">
        <v>7</v>
      </c>
      <c r="B68" s="2" t="s">
        <v>105</v>
      </c>
      <c r="C68" s="16"/>
      <c r="D68" s="16"/>
      <c r="E68" s="16"/>
      <c r="F68" s="16"/>
      <c r="G68" s="16"/>
      <c r="H68" s="16"/>
      <c r="I68" s="16"/>
      <c r="J68" s="16"/>
      <c r="K68" s="16"/>
      <c r="L68" s="16"/>
      <c r="M68" s="16"/>
    </row>
    <row r="69" spans="1:13" x14ac:dyDescent="0.3">
      <c r="B69" s="1" t="s">
        <v>107</v>
      </c>
    </row>
    <row r="70" spans="1:13" x14ac:dyDescent="0.3">
      <c r="B70" t="s">
        <v>82</v>
      </c>
      <c r="C70" s="12">
        <f>'Raw FS'!E45</f>
        <v>3056</v>
      </c>
      <c r="D70" s="12">
        <f>'Raw FS'!F45</f>
        <v>3274</v>
      </c>
      <c r="E70" s="12">
        <f>'Raw FS'!G45</f>
        <v>3861</v>
      </c>
      <c r="F70" s="12">
        <f>'Raw FS'!H45</f>
        <v>4380</v>
      </c>
      <c r="G70" s="12">
        <f>'Raw FS'!I45</f>
        <v>4970</v>
      </c>
      <c r="H70" s="12">
        <f>'Raw FS'!J45</f>
        <v>4957</v>
      </c>
      <c r="I70" s="12">
        <f>'Raw FS'!K45</f>
        <v>6460</v>
      </c>
      <c r="J70" s="12">
        <f>'Raw FS'!L45</f>
        <v>7929</v>
      </c>
      <c r="K70" s="12">
        <f>'Raw FS'!M45</f>
        <v>6390</v>
      </c>
      <c r="L70" s="12">
        <f>'Raw FS'!N45</f>
        <v>7186</v>
      </c>
      <c r="M70" s="12">
        <f>L70</f>
        <v>7186</v>
      </c>
    </row>
    <row r="71" spans="1:13" x14ac:dyDescent="0.3">
      <c r="B71" t="s">
        <v>68</v>
      </c>
      <c r="C71" s="12">
        <f>'Raw FS'!E46</f>
        <v>-475</v>
      </c>
      <c r="D71" s="12">
        <f>'Raw FS'!F46</f>
        <v>-483</v>
      </c>
      <c r="E71" s="12">
        <f>'Raw FS'!G46</f>
        <v>-205</v>
      </c>
      <c r="F71" s="12">
        <f>'Raw FS'!H46</f>
        <v>160</v>
      </c>
      <c r="G71" s="12">
        <f>'Raw FS'!I46</f>
        <v>-849</v>
      </c>
      <c r="H71" s="12">
        <f>'Raw FS'!J46</f>
        <v>-1326</v>
      </c>
      <c r="I71" s="12">
        <f>'Raw FS'!K46</f>
        <v>-834</v>
      </c>
      <c r="J71" s="12">
        <f>'Raw FS'!L46</f>
        <v>-362</v>
      </c>
      <c r="K71" s="12">
        <f>'Raw FS'!M46</f>
        <v>282</v>
      </c>
      <c r="L71" s="12">
        <f>'Raw FS'!N46</f>
        <v>-274</v>
      </c>
      <c r="M71" s="12">
        <f t="shared" ref="M71:M76" si="27">L71</f>
        <v>-274</v>
      </c>
    </row>
    <row r="72" spans="1:13" x14ac:dyDescent="0.3">
      <c r="B72" t="s">
        <v>25</v>
      </c>
      <c r="C72" s="12">
        <f>'Raw FS'!E47</f>
        <v>-629</v>
      </c>
      <c r="D72" s="12">
        <f>'Raw FS'!F47</f>
        <v>-39</v>
      </c>
      <c r="E72" s="12">
        <f>'Raw FS'!G47</f>
        <v>-492</v>
      </c>
      <c r="F72" s="12">
        <f>'Raw FS'!H47</f>
        <v>-251</v>
      </c>
      <c r="G72" s="12">
        <f>'Raw FS'!I47</f>
        <v>-409</v>
      </c>
      <c r="H72" s="12">
        <f>'Raw FS'!J47</f>
        <v>-2354</v>
      </c>
      <c r="I72" s="12">
        <f>'Raw FS'!K47</f>
        <v>-56</v>
      </c>
      <c r="J72" s="12">
        <f>'Raw FS'!L47</f>
        <v>315</v>
      </c>
      <c r="K72" s="12">
        <f>'Raw FS'!M47</f>
        <v>-805</v>
      </c>
      <c r="L72" s="12">
        <f>'Raw FS'!N47</f>
        <v>976</v>
      </c>
      <c r="M72" s="12">
        <f t="shared" si="27"/>
        <v>976</v>
      </c>
    </row>
    <row r="73" spans="1:13" x14ac:dyDescent="0.3">
      <c r="B73" t="s">
        <v>83</v>
      </c>
      <c r="C73" s="12">
        <f>'Raw FS'!E48</f>
        <v>501</v>
      </c>
      <c r="D73" s="12">
        <f>'Raw FS'!F48</f>
        <v>442</v>
      </c>
      <c r="E73" s="12">
        <f>'Raw FS'!G48</f>
        <v>287</v>
      </c>
      <c r="F73" s="12">
        <f>'Raw FS'!H48</f>
        <v>-241</v>
      </c>
      <c r="G73" s="12">
        <f>'Raw FS'!I48</f>
        <v>1143</v>
      </c>
      <c r="H73" s="12">
        <f>'Raw FS'!J48</f>
        <v>644</v>
      </c>
      <c r="I73" s="12">
        <f>'Raw FS'!K48</f>
        <v>-539</v>
      </c>
      <c r="J73" s="12">
        <f>'Raw FS'!L48</f>
        <v>269</v>
      </c>
      <c r="K73" s="12">
        <f>'Raw FS'!M48</f>
        <v>-160</v>
      </c>
      <c r="L73" s="12">
        <f>'Raw FS'!N48</f>
        <v>396</v>
      </c>
      <c r="M73" s="12">
        <f t="shared" si="27"/>
        <v>396</v>
      </c>
    </row>
    <row r="74" spans="1:13" x14ac:dyDescent="0.3">
      <c r="B74" t="s">
        <v>84</v>
      </c>
      <c r="C74" s="12">
        <f>'Raw FS'!E49</f>
        <v>0</v>
      </c>
      <c r="D74" s="12">
        <f>'Raw FS'!F49</f>
        <v>0</v>
      </c>
      <c r="E74" s="12">
        <f>'Raw FS'!G49</f>
        <v>0</v>
      </c>
      <c r="F74" s="12">
        <f>'Raw FS'!H49</f>
        <v>0</v>
      </c>
      <c r="G74" s="12">
        <f>'Raw FS'!I49</f>
        <v>-92</v>
      </c>
      <c r="H74" s="12">
        <f>'Raw FS'!J49</f>
        <v>242</v>
      </c>
      <c r="I74" s="12">
        <f>'Raw FS'!K49</f>
        <v>657</v>
      </c>
      <c r="J74" s="12">
        <f>'Raw FS'!L49</f>
        <v>-212</v>
      </c>
      <c r="K74" s="12">
        <f>'Raw FS'!M49</f>
        <v>114</v>
      </c>
      <c r="L74" s="12">
        <f>'Raw FS'!N49</f>
        <v>378</v>
      </c>
      <c r="M74" s="12">
        <f t="shared" si="27"/>
        <v>378</v>
      </c>
    </row>
    <row r="75" spans="1:13" x14ac:dyDescent="0.3">
      <c r="B75" t="s">
        <v>85</v>
      </c>
      <c r="C75" s="12">
        <f>'Raw FS'!E50</f>
        <v>-603</v>
      </c>
      <c r="D75" s="12">
        <f>'Raw FS'!F50</f>
        <v>-80</v>
      </c>
      <c r="E75" s="12">
        <f>'Raw FS'!G50</f>
        <v>-410</v>
      </c>
      <c r="F75" s="12">
        <f>'Raw FS'!H50</f>
        <v>-331</v>
      </c>
      <c r="G75" s="12">
        <f>'Raw FS'!I50</f>
        <v>-206</v>
      </c>
      <c r="H75" s="12">
        <f>'Raw FS'!J50</f>
        <v>-2795</v>
      </c>
      <c r="I75" s="12">
        <f>'Raw FS'!K50</f>
        <v>-772</v>
      </c>
      <c r="J75" s="12">
        <f>'Raw FS'!L50</f>
        <v>10</v>
      </c>
      <c r="K75" s="12">
        <f>'Raw FS'!M50</f>
        <v>-570</v>
      </c>
      <c r="L75" s="12">
        <f>'Raw FS'!N50</f>
        <v>1476</v>
      </c>
      <c r="M75" s="12">
        <f t="shared" si="27"/>
        <v>1476</v>
      </c>
    </row>
    <row r="76" spans="1:13" x14ac:dyDescent="0.3">
      <c r="B76" t="s">
        <v>86</v>
      </c>
      <c r="C76" s="12">
        <f>'Raw FS'!E51</f>
        <v>-925</v>
      </c>
      <c r="D76" s="12">
        <f>'Raw FS'!F51</f>
        <v>-1081</v>
      </c>
      <c r="E76" s="12">
        <f>'Raw FS'!G51</f>
        <v>-982</v>
      </c>
      <c r="F76" s="12">
        <f>'Raw FS'!H51</f>
        <v>-1011</v>
      </c>
      <c r="G76" s="12">
        <f>'Raw FS'!I51</f>
        <v>-1080</v>
      </c>
      <c r="H76" s="12">
        <f>'Raw FS'!J51</f>
        <v>-1176</v>
      </c>
      <c r="I76" s="12">
        <f>'Raw FS'!K51</f>
        <v>-1494</v>
      </c>
      <c r="J76" s="12">
        <f>'Raw FS'!L51</f>
        <v>-1835</v>
      </c>
      <c r="K76" s="12">
        <f>'Raw FS'!M51</f>
        <v>-1396</v>
      </c>
      <c r="L76" s="12">
        <f>'Raw FS'!N51</f>
        <v>-1574</v>
      </c>
      <c r="M76" s="12">
        <f t="shared" si="27"/>
        <v>-1574</v>
      </c>
    </row>
    <row r="77" spans="1:13" x14ac:dyDescent="0.3">
      <c r="B77" s="1" t="s">
        <v>106</v>
      </c>
      <c r="C77" s="21">
        <f>IFERROR(SUM(C70,C75,C76),0)</f>
        <v>1528</v>
      </c>
      <c r="D77" s="21">
        <f>IFERROR(SUM(D70,D75,D76),0)</f>
        <v>2113</v>
      </c>
      <c r="E77" s="21">
        <f t="shared" ref="E77:M77" si="28">IFERROR(SUM(E70,E75,E76),0)</f>
        <v>2469</v>
      </c>
      <c r="F77" s="21">
        <f t="shared" si="28"/>
        <v>3038</v>
      </c>
      <c r="G77" s="21">
        <f t="shared" si="28"/>
        <v>3684</v>
      </c>
      <c r="H77" s="21">
        <f t="shared" si="28"/>
        <v>986</v>
      </c>
      <c r="I77" s="21">
        <f t="shared" si="28"/>
        <v>4194</v>
      </c>
      <c r="J77" s="21">
        <f t="shared" si="28"/>
        <v>6104</v>
      </c>
      <c r="K77" s="21">
        <f t="shared" si="28"/>
        <v>4424</v>
      </c>
      <c r="L77" s="21">
        <f t="shared" si="28"/>
        <v>7088</v>
      </c>
      <c r="M77" s="21">
        <f t="shared" si="28"/>
        <v>7088</v>
      </c>
    </row>
    <row r="80" spans="1:13" x14ac:dyDescent="0.3">
      <c r="B80" s="1" t="s">
        <v>108</v>
      </c>
    </row>
    <row r="81" spans="2:13" x14ac:dyDescent="0.3">
      <c r="B81" t="s">
        <v>87</v>
      </c>
      <c r="C81" s="12">
        <f>'Raw FS'!E53</f>
        <v>-684</v>
      </c>
      <c r="D81" s="12">
        <f>'Raw FS'!F53</f>
        <v>-1426</v>
      </c>
      <c r="E81" s="12">
        <f>'Raw FS'!G53</f>
        <v>-1151</v>
      </c>
      <c r="F81" s="12">
        <f>'Raw FS'!H53</f>
        <v>-414</v>
      </c>
      <c r="G81" s="12">
        <f>'Raw FS'!I53</f>
        <v>-289</v>
      </c>
      <c r="H81" s="12">
        <f>'Raw FS'!J53</f>
        <v>-551</v>
      </c>
      <c r="I81" s="12">
        <f>'Raw FS'!K53</f>
        <v>-1446</v>
      </c>
      <c r="J81" s="12">
        <f>'Raw FS'!L53</f>
        <v>-2496</v>
      </c>
      <c r="K81" s="12">
        <f>'Raw FS'!M53</f>
        <v>-1830</v>
      </c>
      <c r="L81" s="12">
        <f>'Raw FS'!N53</f>
        <v>-1487</v>
      </c>
      <c r="M81" s="12">
        <f>L81</f>
        <v>-1487</v>
      </c>
    </row>
    <row r="82" spans="2:13" x14ac:dyDescent="0.3">
      <c r="B82" t="s">
        <v>88</v>
      </c>
      <c r="C82" s="12">
        <f>'Raw FS'!E54</f>
        <v>17</v>
      </c>
      <c r="D82" s="12">
        <f>'Raw FS'!F54</f>
        <v>17</v>
      </c>
      <c r="E82" s="12">
        <f>'Raw FS'!G54</f>
        <v>17</v>
      </c>
      <c r="F82" s="12">
        <f>'Raw FS'!H54</f>
        <v>37</v>
      </c>
      <c r="G82" s="12">
        <f>'Raw FS'!I54</f>
        <v>28</v>
      </c>
      <c r="H82" s="12">
        <f>'Raw FS'!J54</f>
        <v>40</v>
      </c>
      <c r="I82" s="12">
        <f>'Raw FS'!K54</f>
        <v>26</v>
      </c>
      <c r="J82" s="12">
        <f>'Raw FS'!L54</f>
        <v>5</v>
      </c>
      <c r="K82" s="12">
        <f>'Raw FS'!M54</f>
        <v>10</v>
      </c>
      <c r="L82" s="12">
        <f>'Raw FS'!N54</f>
        <v>3</v>
      </c>
      <c r="M82" s="12">
        <f t="shared" ref="M82:M90" si="29">L82</f>
        <v>3</v>
      </c>
    </row>
    <row r="83" spans="2:13" x14ac:dyDescent="0.3">
      <c r="B83" t="s">
        <v>89</v>
      </c>
      <c r="C83" s="12">
        <f>'Raw FS'!E55</f>
        <v>-153</v>
      </c>
      <c r="D83" s="12">
        <f>'Raw FS'!F55</f>
        <v>-320</v>
      </c>
      <c r="E83" s="12">
        <f>'Raw FS'!G55</f>
        <v>-573</v>
      </c>
      <c r="F83" s="12">
        <f>'Raw FS'!H55</f>
        <v>-25</v>
      </c>
      <c r="G83" s="12">
        <f>'Raw FS'!I55</f>
        <v>-140</v>
      </c>
      <c r="H83" s="12">
        <f>'Raw FS'!J55</f>
        <v>0</v>
      </c>
      <c r="I83" s="12">
        <f>'Raw FS'!K55</f>
        <v>-146</v>
      </c>
      <c r="J83" s="12">
        <f>'Raw FS'!L55</f>
        <v>-212</v>
      </c>
      <c r="K83" s="12">
        <f>'Raw FS'!M55</f>
        <v>-1</v>
      </c>
      <c r="L83" s="12">
        <f>'Raw FS'!N55</f>
        <v>0</v>
      </c>
      <c r="M83" s="12">
        <f t="shared" si="29"/>
        <v>0</v>
      </c>
    </row>
    <row r="84" spans="2:13" x14ac:dyDescent="0.3">
      <c r="B84" t="s">
        <v>90</v>
      </c>
      <c r="C84" s="12">
        <f>'Raw FS'!E56</f>
        <v>357</v>
      </c>
      <c r="D84" s="12">
        <f>'Raw FS'!F56</f>
        <v>362</v>
      </c>
      <c r="E84" s="12">
        <f>'Raw FS'!G56</f>
        <v>733</v>
      </c>
      <c r="F84" s="12">
        <f>'Raw FS'!H56</f>
        <v>118</v>
      </c>
      <c r="G84" s="12">
        <f>'Raw FS'!I56</f>
        <v>272</v>
      </c>
      <c r="H84" s="12">
        <f>'Raw FS'!J56</f>
        <v>207</v>
      </c>
      <c r="I84" s="12">
        <f>'Raw FS'!K56</f>
        <v>446</v>
      </c>
      <c r="J84" s="12">
        <f>'Raw FS'!L56</f>
        <v>240</v>
      </c>
      <c r="K84" s="12">
        <f>'Raw FS'!M56</f>
        <v>421</v>
      </c>
      <c r="L84" s="12">
        <f>'Raw FS'!N56</f>
        <v>1197</v>
      </c>
      <c r="M84" s="12">
        <f t="shared" si="29"/>
        <v>1197</v>
      </c>
    </row>
    <row r="85" spans="2:13" x14ac:dyDescent="0.3">
      <c r="B85" t="s">
        <v>91</v>
      </c>
      <c r="C85" s="12">
        <f>'Raw FS'!E57</f>
        <v>32</v>
      </c>
      <c r="D85" s="12">
        <f>'Raw FS'!F57</f>
        <v>39</v>
      </c>
      <c r="E85" s="12">
        <f>'Raw FS'!G57</f>
        <v>40</v>
      </c>
      <c r="F85" s="12">
        <f>'Raw FS'!H57</f>
        <v>65</v>
      </c>
      <c r="G85" s="12">
        <f>'Raw FS'!I57</f>
        <v>73</v>
      </c>
      <c r="H85" s="12">
        <f>'Raw FS'!J57</f>
        <v>77</v>
      </c>
      <c r="I85" s="12">
        <f>'Raw FS'!K57</f>
        <v>87</v>
      </c>
      <c r="J85" s="12">
        <f>'Raw FS'!L57</f>
        <v>135</v>
      </c>
      <c r="K85" s="12">
        <f>'Raw FS'!M57</f>
        <v>155</v>
      </c>
      <c r="L85" s="12">
        <f>'Raw FS'!N57</f>
        <v>153</v>
      </c>
      <c r="M85" s="12">
        <f t="shared" si="29"/>
        <v>153</v>
      </c>
    </row>
    <row r="86" spans="2:13" x14ac:dyDescent="0.3">
      <c r="B86" t="s">
        <v>92</v>
      </c>
      <c r="C86" s="12">
        <f>'Raw FS'!E58</f>
        <v>74</v>
      </c>
      <c r="D86" s="12">
        <f>'Raw FS'!F58</f>
        <v>38</v>
      </c>
      <c r="E86" s="12">
        <f>'Raw FS'!G58</f>
        <v>40</v>
      </c>
      <c r="F86" s="12">
        <f>'Raw FS'!H58</f>
        <v>27</v>
      </c>
      <c r="G86" s="12">
        <f>'Raw FS'!I58</f>
        <v>8</v>
      </c>
      <c r="H86" s="12">
        <f>'Raw FS'!J58</f>
        <v>15</v>
      </c>
      <c r="I86" s="12">
        <f>'Raw FS'!K58</f>
        <v>56</v>
      </c>
      <c r="J86" s="12">
        <f>'Raw FS'!L58</f>
        <v>129</v>
      </c>
      <c r="K86" s="12">
        <f>'Raw FS'!M58</f>
        <v>136</v>
      </c>
      <c r="L86" s="12">
        <f>'Raw FS'!N58</f>
        <v>118</v>
      </c>
      <c r="M86" s="12">
        <f t="shared" si="29"/>
        <v>118</v>
      </c>
    </row>
    <row r="87" spans="2:13" x14ac:dyDescent="0.3">
      <c r="B87" t="s">
        <v>93</v>
      </c>
      <c r="C87" s="12">
        <f>'Raw FS'!E59</f>
        <v>0</v>
      </c>
      <c r="D87" s="12">
        <f>'Raw FS'!F59</f>
        <v>0</v>
      </c>
      <c r="E87" s="12">
        <f>'Raw FS'!G59</f>
        <v>0</v>
      </c>
      <c r="F87" s="12">
        <f>'Raw FS'!H59</f>
        <v>0</v>
      </c>
      <c r="G87" s="12">
        <f>'Raw FS'!I59</f>
        <v>0</v>
      </c>
      <c r="H87" s="12">
        <f>'Raw FS'!J59</f>
        <v>0</v>
      </c>
      <c r="I87" s="12">
        <f>'Raw FS'!K59</f>
        <v>-180</v>
      </c>
      <c r="J87" s="12">
        <f>'Raw FS'!L59</f>
        <v>0</v>
      </c>
      <c r="K87" s="12">
        <f>'Raw FS'!M59</f>
        <v>0</v>
      </c>
      <c r="L87" s="12">
        <f>'Raw FS'!N59</f>
        <v>0</v>
      </c>
      <c r="M87" s="12">
        <f t="shared" si="29"/>
        <v>0</v>
      </c>
    </row>
    <row r="88" spans="2:13" x14ac:dyDescent="0.3">
      <c r="B88" t="s">
        <v>94</v>
      </c>
      <c r="C88" s="12">
        <f>'Raw FS'!E60</f>
        <v>0</v>
      </c>
      <c r="D88" s="12">
        <f>'Raw FS'!F60</f>
        <v>141</v>
      </c>
      <c r="E88" s="12">
        <f>'Raw FS'!G60</f>
        <v>0</v>
      </c>
      <c r="F88" s="12">
        <f>'Raw FS'!H60</f>
        <v>17</v>
      </c>
      <c r="G88" s="12">
        <f>'Raw FS'!I60</f>
        <v>0</v>
      </c>
      <c r="H88" s="12">
        <f>'Raw FS'!J60</f>
        <v>0</v>
      </c>
      <c r="I88" s="12">
        <f>'Raw FS'!K60</f>
        <v>0</v>
      </c>
      <c r="J88" s="12">
        <f>'Raw FS'!L60</f>
        <v>0</v>
      </c>
      <c r="K88" s="12">
        <f>'Raw FS'!M60</f>
        <v>38</v>
      </c>
      <c r="L88" s="12">
        <f>'Raw FS'!N60</f>
        <v>0</v>
      </c>
      <c r="M88" s="12">
        <f t="shared" si="29"/>
        <v>0</v>
      </c>
    </row>
    <row r="89" spans="2:13" x14ac:dyDescent="0.3">
      <c r="B89" t="s">
        <v>95</v>
      </c>
      <c r="C89" s="12">
        <f>'Raw FS'!E61</f>
        <v>0</v>
      </c>
      <c r="D89" s="12">
        <f>'Raw FS'!F61</f>
        <v>-525</v>
      </c>
      <c r="E89" s="12">
        <f>'Raw FS'!G61</f>
        <v>0</v>
      </c>
      <c r="F89" s="12">
        <f>'Raw FS'!H61</f>
        <v>0</v>
      </c>
      <c r="G89" s="12">
        <f>'Raw FS'!I61</f>
        <v>0</v>
      </c>
      <c r="H89" s="12">
        <f>'Raw FS'!J61</f>
        <v>0</v>
      </c>
      <c r="I89" s="12">
        <f>'Raw FS'!K61</f>
        <v>0</v>
      </c>
      <c r="J89" s="12">
        <f>'Raw FS'!L61</f>
        <v>0</v>
      </c>
      <c r="K89" s="12">
        <f>'Raw FS'!M61</f>
        <v>0</v>
      </c>
      <c r="L89" s="12">
        <f>'Raw FS'!N61</f>
        <v>0</v>
      </c>
      <c r="M89" s="12">
        <f t="shared" si="29"/>
        <v>0</v>
      </c>
    </row>
    <row r="90" spans="2:13" x14ac:dyDescent="0.3">
      <c r="B90" t="s">
        <v>96</v>
      </c>
      <c r="C90" s="12">
        <f>'Raw FS'!E62</f>
        <v>-324</v>
      </c>
      <c r="D90" s="12">
        <f>'Raw FS'!F62</f>
        <v>118</v>
      </c>
      <c r="E90" s="12">
        <f>'Raw FS'!G62</f>
        <v>-24</v>
      </c>
      <c r="F90" s="12">
        <f>'Raw FS'!H62</f>
        <v>-343</v>
      </c>
      <c r="G90" s="12">
        <f>'Raw FS'!I62</f>
        <v>-493</v>
      </c>
      <c r="H90" s="12">
        <f>'Raw FS'!J62</f>
        <v>-105</v>
      </c>
      <c r="I90" s="12">
        <f>'Raw FS'!K62</f>
        <v>-126</v>
      </c>
      <c r="J90" s="12">
        <f>'Raw FS'!L62</f>
        <v>-350</v>
      </c>
      <c r="K90" s="12">
        <f>'Raw FS'!M62</f>
        <v>130</v>
      </c>
      <c r="L90" s="12">
        <f>'Raw FS'!N62</f>
        <v>-1312</v>
      </c>
      <c r="M90" s="12">
        <f t="shared" si="29"/>
        <v>-1312</v>
      </c>
    </row>
    <row r="91" spans="2:13" x14ac:dyDescent="0.3">
      <c r="B91" s="1" t="s">
        <v>109</v>
      </c>
      <c r="C91" s="21">
        <f>IFERROR(SUM(C81:C90),0)</f>
        <v>-681</v>
      </c>
      <c r="D91" s="21">
        <f t="shared" ref="D91:M91" si="30">IFERROR(SUM(D81:D90),0)</f>
        <v>-1556</v>
      </c>
      <c r="E91" s="21">
        <f t="shared" si="30"/>
        <v>-918</v>
      </c>
      <c r="F91" s="21">
        <f t="shared" si="30"/>
        <v>-518</v>
      </c>
      <c r="G91" s="21">
        <f t="shared" si="30"/>
        <v>-541</v>
      </c>
      <c r="H91" s="21">
        <f t="shared" si="30"/>
        <v>-317</v>
      </c>
      <c r="I91" s="21">
        <f t="shared" si="30"/>
        <v>-1283</v>
      </c>
      <c r="J91" s="21">
        <f t="shared" si="30"/>
        <v>-2549</v>
      </c>
      <c r="K91" s="21">
        <f t="shared" si="30"/>
        <v>-941</v>
      </c>
      <c r="L91" s="21">
        <f t="shared" si="30"/>
        <v>-1328</v>
      </c>
      <c r="M91" s="21">
        <f t="shared" si="30"/>
        <v>-1328</v>
      </c>
    </row>
    <row r="94" spans="2:13" x14ac:dyDescent="0.3">
      <c r="B94" s="1" t="s">
        <v>110</v>
      </c>
    </row>
    <row r="95" spans="2:13" x14ac:dyDescent="0.3">
      <c r="B95" t="s">
        <v>97</v>
      </c>
      <c r="C95" s="12">
        <f>'Raw FS'!E64</f>
        <v>0</v>
      </c>
      <c r="D95" s="12">
        <f>'Raw FS'!F64</f>
        <v>0</v>
      </c>
      <c r="E95" s="12">
        <f>'Raw FS'!G64</f>
        <v>0</v>
      </c>
      <c r="F95" s="12">
        <f>'Raw FS'!H64</f>
        <v>0</v>
      </c>
      <c r="G95" s="12">
        <f>'Raw FS'!I64</f>
        <v>0</v>
      </c>
      <c r="H95" s="12">
        <f>'Raw FS'!J64</f>
        <v>0</v>
      </c>
      <c r="I95" s="12">
        <f>'Raw FS'!K64</f>
        <v>0</v>
      </c>
      <c r="J95" s="12">
        <f>'Raw FS'!L64</f>
        <v>1</v>
      </c>
      <c r="K95" s="12">
        <f>'Raw FS'!M64</f>
        <v>0</v>
      </c>
      <c r="L95" s="12">
        <f>'Raw FS'!N64</f>
        <v>0</v>
      </c>
      <c r="M95" s="12">
        <f>L95</f>
        <v>0</v>
      </c>
    </row>
    <row r="96" spans="2:13" x14ac:dyDescent="0.3">
      <c r="B96" t="s">
        <v>98</v>
      </c>
      <c r="C96" s="12">
        <f>'Raw FS'!E65</f>
        <v>271</v>
      </c>
      <c r="D96" s="12">
        <f>'Raw FS'!F65</f>
        <v>10</v>
      </c>
      <c r="E96" s="12">
        <f>'Raw FS'!G65</f>
        <v>243</v>
      </c>
      <c r="F96" s="12">
        <f>'Raw FS'!H65</f>
        <v>18</v>
      </c>
      <c r="G96" s="12">
        <f>'Raw FS'!I65</f>
        <v>155</v>
      </c>
      <c r="H96" s="12">
        <f>'Raw FS'!J65</f>
        <v>418</v>
      </c>
      <c r="I96" s="12">
        <f>'Raw FS'!K65</f>
        <v>254</v>
      </c>
      <c r="J96" s="12">
        <f>'Raw FS'!L65</f>
        <v>101</v>
      </c>
      <c r="K96" s="12">
        <f>'Raw FS'!M65</f>
        <v>415</v>
      </c>
      <c r="L96" s="12">
        <f>'Raw FS'!N65</f>
        <v>1279</v>
      </c>
      <c r="M96" s="12">
        <f t="shared" ref="M96:M101" si="31">L96</f>
        <v>1279</v>
      </c>
    </row>
    <row r="97" spans="2:13" x14ac:dyDescent="0.3">
      <c r="B97" t="s">
        <v>99</v>
      </c>
      <c r="C97" s="12">
        <f>'Raw FS'!E66</f>
        <v>-58</v>
      </c>
      <c r="D97" s="12">
        <f>'Raw FS'!F66</f>
        <v>-54</v>
      </c>
      <c r="E97" s="12">
        <f>'Raw FS'!G66</f>
        <v>-26</v>
      </c>
      <c r="F97" s="12">
        <f>'Raw FS'!H66</f>
        <v>-482</v>
      </c>
      <c r="G97" s="12">
        <f>'Raw FS'!I66</f>
        <v>-14</v>
      </c>
      <c r="H97" s="12">
        <f>'Raw FS'!J66</f>
        <v>-8</v>
      </c>
      <c r="I97" s="12">
        <f>'Raw FS'!K66</f>
        <v>-25</v>
      </c>
      <c r="J97" s="12">
        <f>'Raw FS'!L66</f>
        <v>-98</v>
      </c>
      <c r="K97" s="12">
        <f>'Raw FS'!M66</f>
        <v>-428</v>
      </c>
      <c r="L97" s="12">
        <f>'Raw FS'!N66</f>
        <v>-452</v>
      </c>
      <c r="M97" s="12">
        <f t="shared" si="31"/>
        <v>-452</v>
      </c>
    </row>
    <row r="98" spans="2:13" x14ac:dyDescent="0.3">
      <c r="B98" t="s">
        <v>100</v>
      </c>
      <c r="C98" s="12">
        <f>'Raw FS'!E67</f>
        <v>-36</v>
      </c>
      <c r="D98" s="12">
        <f>'Raw FS'!F67</f>
        <v>-35</v>
      </c>
      <c r="E98" s="12">
        <f>'Raw FS'!G67</f>
        <v>-106</v>
      </c>
      <c r="F98" s="12">
        <f>'Raw FS'!H67</f>
        <v>-101</v>
      </c>
      <c r="G98" s="12">
        <f>'Raw FS'!I67</f>
        <v>-89</v>
      </c>
      <c r="H98" s="12">
        <f>'Raw FS'!J67</f>
        <v>-94</v>
      </c>
      <c r="I98" s="12">
        <f>'Raw FS'!K67</f>
        <v>-142</v>
      </c>
      <c r="J98" s="12">
        <f>'Raw FS'!L67</f>
        <v>-191</v>
      </c>
      <c r="K98" s="12">
        <f>'Raw FS'!M67</f>
        <v>-203</v>
      </c>
      <c r="L98" s="12">
        <f>'Raw FS'!N67</f>
        <v>-228</v>
      </c>
      <c r="M98" s="12">
        <f t="shared" si="31"/>
        <v>-228</v>
      </c>
    </row>
    <row r="99" spans="2:13" x14ac:dyDescent="0.3">
      <c r="B99" t="s">
        <v>101</v>
      </c>
      <c r="C99" s="12">
        <f>'Raw FS'!E68</f>
        <v>-947</v>
      </c>
      <c r="D99" s="12">
        <f>'Raw FS'!F68</f>
        <v>-1218</v>
      </c>
      <c r="E99" s="12">
        <f>'Raw FS'!G68</f>
        <v>-1049</v>
      </c>
      <c r="F99" s="12">
        <f>'Raw FS'!H68</f>
        <v>-2121</v>
      </c>
      <c r="G99" s="12">
        <f>'Raw FS'!I68</f>
        <v>-499</v>
      </c>
      <c r="H99" s="12">
        <f>'Raw FS'!J68</f>
        <v>-1763</v>
      </c>
      <c r="I99" s="12">
        <f>'Raw FS'!K68</f>
        <v>-1936</v>
      </c>
      <c r="J99" s="12">
        <f>'Raw FS'!L68</f>
        <v>-2551</v>
      </c>
      <c r="K99" s="12">
        <f>'Raw FS'!M68</f>
        <v>-3140</v>
      </c>
      <c r="L99" s="12">
        <f>'Raw FS'!N68</f>
        <v>-2425</v>
      </c>
      <c r="M99" s="12">
        <f t="shared" si="31"/>
        <v>-2425</v>
      </c>
    </row>
    <row r="100" spans="2:13" x14ac:dyDescent="0.3">
      <c r="B100" t="s">
        <v>102</v>
      </c>
      <c r="C100" s="12">
        <f>'Raw FS'!E69</f>
        <v>0</v>
      </c>
      <c r="D100" s="12">
        <f>'Raw FS'!F69</f>
        <v>0</v>
      </c>
      <c r="E100" s="12">
        <f>'Raw FS'!G69</f>
        <v>-180</v>
      </c>
      <c r="F100" s="12">
        <f>'Raw FS'!H69</f>
        <v>-179</v>
      </c>
      <c r="G100" s="12">
        <f>'Raw FS'!I69</f>
        <v>-203</v>
      </c>
      <c r="H100" s="12">
        <f>'Raw FS'!J69</f>
        <v>-221</v>
      </c>
      <c r="I100" s="12">
        <f>'Raw FS'!K69</f>
        <v>-256</v>
      </c>
      <c r="J100" s="12">
        <f>'Raw FS'!L69</f>
        <v>-286</v>
      </c>
      <c r="K100" s="12">
        <f>'Raw FS'!M69</f>
        <v>-325</v>
      </c>
      <c r="L100" s="12">
        <f>'Raw FS'!N69</f>
        <v>-340</v>
      </c>
      <c r="M100" s="12">
        <f t="shared" si="31"/>
        <v>-340</v>
      </c>
    </row>
    <row r="101" spans="2:13" x14ac:dyDescent="0.3">
      <c r="B101" t="s">
        <v>103</v>
      </c>
      <c r="C101" s="12">
        <f>'Raw FS'!E70</f>
        <v>13</v>
      </c>
      <c r="D101" s="12">
        <f>'Raw FS'!F70</f>
        <v>-82</v>
      </c>
      <c r="E101" s="12">
        <f>'Raw FS'!G70</f>
        <v>0</v>
      </c>
      <c r="F101" s="12">
        <f>'Raw FS'!H70</f>
        <v>-6</v>
      </c>
      <c r="G101" s="12">
        <f>'Raw FS'!I70</f>
        <v>0</v>
      </c>
      <c r="H101" s="12">
        <f>'Raw FS'!J70</f>
        <v>-140</v>
      </c>
      <c r="I101" s="12">
        <f>'Raw FS'!K70</f>
        <v>-36</v>
      </c>
      <c r="J101" s="12">
        <f>'Raw FS'!L70</f>
        <v>41</v>
      </c>
      <c r="K101" s="12">
        <f>'Raw FS'!M70</f>
        <v>-72</v>
      </c>
      <c r="L101" s="12">
        <f>'Raw FS'!N70</f>
        <v>-210</v>
      </c>
      <c r="M101" s="12">
        <f t="shared" si="31"/>
        <v>-210</v>
      </c>
    </row>
    <row r="102" spans="2:13" x14ac:dyDescent="0.3">
      <c r="B102" s="1" t="s">
        <v>111</v>
      </c>
      <c r="C102" s="21">
        <f>IFERROR(SUM(C95:C101),0)</f>
        <v>-757</v>
      </c>
      <c r="D102" s="21">
        <f t="shared" ref="D102:M102" si="32">IFERROR(SUM(D95:D101),0)</f>
        <v>-1379</v>
      </c>
      <c r="E102" s="21">
        <f t="shared" si="32"/>
        <v>-1118</v>
      </c>
      <c r="F102" s="21">
        <f t="shared" si="32"/>
        <v>-2871</v>
      </c>
      <c r="G102" s="21">
        <f t="shared" si="32"/>
        <v>-650</v>
      </c>
      <c r="H102" s="21">
        <f t="shared" si="32"/>
        <v>-1808</v>
      </c>
      <c r="I102" s="21">
        <f t="shared" si="32"/>
        <v>-2141</v>
      </c>
      <c r="J102" s="21">
        <f t="shared" si="32"/>
        <v>-2983</v>
      </c>
      <c r="K102" s="21">
        <f t="shared" si="32"/>
        <v>-3753</v>
      </c>
      <c r="L102" s="21">
        <f t="shared" si="32"/>
        <v>-2376</v>
      </c>
      <c r="M102" s="21">
        <f t="shared" si="32"/>
        <v>-2376</v>
      </c>
    </row>
    <row r="103" spans="2:13" x14ac:dyDescent="0.3">
      <c r="B103" s="1" t="s">
        <v>112</v>
      </c>
      <c r="C103" s="21">
        <f t="shared" ref="C103:L103" si="33">IFERROR(C77+C91+C102,0)</f>
        <v>90</v>
      </c>
      <c r="D103" s="21">
        <f t="shared" si="33"/>
        <v>-822</v>
      </c>
      <c r="E103" s="21">
        <f t="shared" si="33"/>
        <v>433</v>
      </c>
      <c r="F103" s="21">
        <f t="shared" si="33"/>
        <v>-351</v>
      </c>
      <c r="G103" s="21">
        <f t="shared" si="33"/>
        <v>2493</v>
      </c>
      <c r="H103" s="21">
        <f t="shared" si="33"/>
        <v>-1139</v>
      </c>
      <c r="I103" s="21">
        <f t="shared" si="33"/>
        <v>770</v>
      </c>
      <c r="J103" s="21">
        <f t="shared" si="33"/>
        <v>572</v>
      </c>
      <c r="K103" s="21">
        <f t="shared" si="33"/>
        <v>-270</v>
      </c>
      <c r="L103" s="21">
        <f t="shared" si="33"/>
        <v>3384</v>
      </c>
      <c r="M103" s="21">
        <v>3676</v>
      </c>
    </row>
  </sheetData>
  <mergeCells count="1">
    <mergeCell ref="B2:M2"/>
  </mergeCells>
  <pageMargins left="0.7" right="0.7" top="0.75" bottom="0.75" header="0.3" footer="0.3"/>
  <ignoredErrors>
    <ignoredError sqref="C15:M15"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86389-E657-4F07-8648-3DEE8D36FB12}">
  <dimension ref="B2:O41"/>
  <sheetViews>
    <sheetView showGridLines="0" zoomScale="76" workbookViewId="0">
      <pane ySplit="3" topLeftCell="A16" activePane="bottomLeft" state="frozen"/>
      <selection pane="bottomLeft" activeCell="C3" sqref="C3"/>
    </sheetView>
  </sheetViews>
  <sheetFormatPr defaultRowHeight="14.4" x14ac:dyDescent="0.3"/>
  <cols>
    <col min="1" max="1" width="1.88671875" customWidth="1"/>
    <col min="2" max="2" width="23.88671875" bestFit="1" customWidth="1"/>
  </cols>
  <sheetData>
    <row r="2" spans="2:15" x14ac:dyDescent="0.3">
      <c r="B2" s="279" t="str">
        <f>"Ratio Analysis"&amp;" - "&amp;Datasheet!$B$1</f>
        <v>Ratio Analysis - ASIAN PAINTS LTD</v>
      </c>
      <c r="C2" s="279"/>
      <c r="D2" s="279"/>
      <c r="E2" s="279"/>
      <c r="F2" s="279"/>
      <c r="G2" s="279"/>
      <c r="H2" s="279"/>
      <c r="I2" s="279"/>
      <c r="J2" s="279"/>
      <c r="K2" s="279"/>
      <c r="L2" s="279"/>
    </row>
    <row r="3" spans="2:15" x14ac:dyDescent="0.3">
      <c r="B3" s="9" t="s">
        <v>9</v>
      </c>
      <c r="C3" s="10">
        <v>42825</v>
      </c>
      <c r="D3" s="10">
        <v>43190</v>
      </c>
      <c r="E3" s="10">
        <v>43555</v>
      </c>
      <c r="F3" s="10">
        <v>43921</v>
      </c>
      <c r="G3" s="10">
        <v>44286</v>
      </c>
      <c r="H3" s="10">
        <v>44651</v>
      </c>
      <c r="I3" s="10">
        <v>45016</v>
      </c>
      <c r="J3" s="10">
        <v>45382</v>
      </c>
      <c r="K3" s="10">
        <v>45747</v>
      </c>
      <c r="L3" s="10">
        <v>46112</v>
      </c>
      <c r="M3" s="218" t="s">
        <v>886</v>
      </c>
      <c r="N3" s="218" t="s">
        <v>141</v>
      </c>
      <c r="O3" s="218" t="s">
        <v>142</v>
      </c>
    </row>
    <row r="5" spans="2:15" x14ac:dyDescent="0.3">
      <c r="B5" s="28" t="s">
        <v>16</v>
      </c>
      <c r="C5" s="29" t="str">
        <f>IFERROR(HistoricalFS!C7,0)</f>
        <v>-</v>
      </c>
      <c r="D5" s="30">
        <f>IFERROR(HistoricalFS!D7,0)</f>
        <v>0.11702039371955486</v>
      </c>
      <c r="E5" s="30">
        <f>IFERROR(HistoricalFS!E7,0)</f>
        <v>0.14357471670861943</v>
      </c>
      <c r="F5" s="30">
        <f>IFERROR(HistoricalFS!F7,0)</f>
        <v>5.0473671435691925E-2</v>
      </c>
      <c r="G5" s="30">
        <f>IFERROR(HistoricalFS!G7,0)</f>
        <v>7.4292287711052118E-2</v>
      </c>
      <c r="H5" s="30">
        <f>IFERROR(HistoricalFS!H7,0)</f>
        <v>0.34028284711453471</v>
      </c>
      <c r="I5" s="30">
        <f>IFERROR(HistoricalFS!I7,0)</f>
        <v>0.18512278497715551</v>
      </c>
      <c r="J5" s="30">
        <f>IFERROR(HistoricalFS!J7,0)</f>
        <v>2.9173126532572313E-2</v>
      </c>
      <c r="K5" s="30">
        <f>IFERROR(HistoricalFS!K7,0)</f>
        <v>-4.4770308155605121E-2</v>
      </c>
      <c r="L5" s="30">
        <f>IFERROR(HistoricalFS!L7,0)</f>
        <v>4.9487960992897317E-2</v>
      </c>
      <c r="M5" s="41"/>
      <c r="N5" s="42">
        <f>IFERROR(AVERAGE(D5:L5),0)</f>
        <v>0.1049619423373859</v>
      </c>
      <c r="O5" s="42">
        <f>IFERROR(MEDIAN(D5:L5),0)</f>
        <v>7.4292287711052118E-2</v>
      </c>
    </row>
    <row r="6" spans="2:15" x14ac:dyDescent="0.3">
      <c r="B6" t="s">
        <v>113</v>
      </c>
      <c r="C6" s="26" t="s">
        <v>39</v>
      </c>
      <c r="D6" s="31">
        <f>IFERROR(HistoricalFS!D18/HistoricalFS!C18-1,0)</f>
        <v>7.0229410507188561E-2</v>
      </c>
      <c r="E6" s="31">
        <f>IFERROR(HistoricalFS!E18/HistoricalFS!D18-1,0)</f>
        <v>0.17507123885381137</v>
      </c>
      <c r="F6" s="31">
        <f>IFERROR(HistoricalFS!F18/HistoricalFS!E18-1,0)</f>
        <v>0.10540141409955961</v>
      </c>
      <c r="G6" s="31">
        <f>IFERROR(HistoricalFS!G18/HistoricalFS!F18-1,0)</f>
        <v>0.16671512361327179</v>
      </c>
      <c r="H6" s="31">
        <f>IFERROR(HistoricalFS!H18/HistoricalFS!G18-1,0)</f>
        <v>-1.0707224647830249E-2</v>
      </c>
      <c r="I6" s="31">
        <f>IFERROR(HistoricalFS!I18/HistoricalFS!H18-1,0)</f>
        <v>0.3031532534906034</v>
      </c>
      <c r="J6" s="31">
        <f>IFERROR(HistoricalFS!J18/HistoricalFS!I18-1,0)</f>
        <v>0.21168911665473988</v>
      </c>
      <c r="K6" s="31">
        <f>IFERROR(HistoricalFS!K18/HistoricalFS!J18-1,0)</f>
        <v>-0.20814425351154509</v>
      </c>
      <c r="L6" s="31">
        <f>IFERROR(HistoricalFS!L18/HistoricalFS!K18-1,0)</f>
        <v>0.11546715815797359</v>
      </c>
      <c r="N6" s="31">
        <f t="shared" ref="N6:N9" si="0">IFERROR(AVERAGE(D6:L6),0)</f>
        <v>0.10320835969086367</v>
      </c>
      <c r="O6" s="31">
        <f t="shared" ref="O6:O9" si="1">IFERROR(MEDIAN(D6:L6),0)</f>
        <v>0.11546715815797359</v>
      </c>
    </row>
    <row r="7" spans="2:15" x14ac:dyDescent="0.3">
      <c r="B7" t="s">
        <v>114</v>
      </c>
      <c r="C7" s="26" t="s">
        <v>39</v>
      </c>
      <c r="D7" s="31">
        <f>IFERROR(SUM(HistoricalFS!D27,HistoricalFS!D21)/SUM(HistoricalFS!C27,HistoricalFS!C21)-1,0)</f>
        <v>6.9414096435838069E-2</v>
      </c>
      <c r="E7" s="31">
        <f>IFERROR(SUM(HistoricalFS!E27,HistoricalFS!E21)/SUM(HistoricalFS!D27,HistoricalFS!D21)-1,0)</f>
        <v>0.10524205743545023</v>
      </c>
      <c r="F7" s="31">
        <f>IFERROR(SUM(HistoricalFS!F27,HistoricalFS!F21)/SUM(HistoricalFS!E27,HistoricalFS!E21)-1,0)</f>
        <v>7.5878197785413271E-2</v>
      </c>
      <c r="G7" s="31">
        <f>IFERROR(SUM(HistoricalFS!G27,HistoricalFS!G21)/SUM(HistoricalFS!F27,HistoricalFS!F21)-1,0)</f>
        <v>0.20201285315872619</v>
      </c>
      <c r="H7" s="31">
        <f>IFERROR(SUM(HistoricalFS!H27,HistoricalFS!H21)/SUM(HistoricalFS!G27,HistoricalFS!G21)-1,0)</f>
        <v>-1.896499546050745E-2</v>
      </c>
      <c r="I7" s="31">
        <f>IFERROR(SUM(HistoricalFS!I27,HistoricalFS!I21)/SUM(HistoricalFS!H27,HistoricalFS!H21)-1,0)</f>
        <v>0.35477334002131711</v>
      </c>
      <c r="J7" s="31">
        <f>IFERROR(SUM(HistoricalFS!J27,HistoricalFS!J21)/SUM(HistoricalFS!I27,HistoricalFS!I21)-1,0)</f>
        <v>0.24624293293741872</v>
      </c>
      <c r="K7" s="31">
        <f>IFERROR(SUM(HistoricalFS!K27,HistoricalFS!K21)/SUM(HistoricalFS!J27,HistoricalFS!J21)-1,0)</f>
        <v>-0.26026666745890492</v>
      </c>
      <c r="L7" s="31">
        <f>IFERROR(SUM(HistoricalFS!L27,HistoricalFS!L21)/SUM(HistoricalFS!K27,HistoricalFS!K21)-1,0)</f>
        <v>9.8598959410587161E-2</v>
      </c>
      <c r="N7" s="31">
        <f t="shared" si="0"/>
        <v>9.6992308251704254E-2</v>
      </c>
      <c r="O7" s="31">
        <f t="shared" si="1"/>
        <v>9.8598959410587161E-2</v>
      </c>
    </row>
    <row r="8" spans="2:15" x14ac:dyDescent="0.3">
      <c r="B8" t="s">
        <v>115</v>
      </c>
      <c r="C8" s="26" t="s">
        <v>39</v>
      </c>
      <c r="D8" s="31">
        <f>IFERROR(HistoricalFS!D33/HistoricalFS!C33-1,0)</f>
        <v>4.9310334554771407E-2</v>
      </c>
      <c r="E8" s="31">
        <f>IFERROR(HistoricalFS!E33/HistoricalFS!D33-1,0)</f>
        <v>9.8324352255112046E-2</v>
      </c>
      <c r="F8" s="31">
        <f>IFERROR(HistoricalFS!F33/HistoricalFS!E33-1,0)</f>
        <v>0.25323248564057566</v>
      </c>
      <c r="G8" s="31">
        <f>IFERROR(HistoricalFS!G33/HistoricalFS!F33-1,0)</f>
        <v>0.1860533231026924</v>
      </c>
      <c r="H8" s="31">
        <f>IFERROR(HistoricalFS!H33/HistoricalFS!G33-1,0)</f>
        <v>-2.9971131438908061E-2</v>
      </c>
      <c r="I8" s="31">
        <f>IFERROR(HistoricalFS!I33/HistoricalFS!H33-1,0)</f>
        <v>0.34957492658474654</v>
      </c>
      <c r="J8" s="31">
        <f>IFERROR(HistoricalFS!J33/HistoricalFS!I33-1,0)</f>
        <v>0.25847332665581102</v>
      </c>
      <c r="K8" s="31">
        <f>IFERROR(HistoricalFS!K33/HistoricalFS!J33-1,0)</f>
        <v>-0.29075754792863395</v>
      </c>
      <c r="L8" s="31">
        <f>IFERROR(HistoricalFS!L33/HistoricalFS!K33-1,0)</f>
        <v>9.1451381013189836E-2</v>
      </c>
      <c r="N8" s="31">
        <f t="shared" si="0"/>
        <v>0.10729905004881744</v>
      </c>
      <c r="O8" s="31">
        <f t="shared" si="1"/>
        <v>9.8324352255112046E-2</v>
      </c>
    </row>
    <row r="9" spans="2:15" x14ac:dyDescent="0.3">
      <c r="B9" s="32" t="s">
        <v>116</v>
      </c>
      <c r="C9" s="33" t="s">
        <v>39</v>
      </c>
      <c r="D9" s="34">
        <f>IFERROR(HistoricalFS!D41/HistoricalFS!C41-1,0)</f>
        <v>-0.15534727423632066</v>
      </c>
      <c r="E9" s="34">
        <f>IFERROR(HistoricalFS!E41/HistoricalFS!D41-1,0)</f>
        <v>0.20690233672858005</v>
      </c>
      <c r="F9" s="34">
        <f>IFERROR(HistoricalFS!F41/HistoricalFS!E41-1,0)</f>
        <v>0.14285714285714279</v>
      </c>
      <c r="G9" s="34">
        <f>IFERROR(HistoricalFS!G41/HistoricalFS!F41-1,0)</f>
        <v>0.48749826244092298</v>
      </c>
      <c r="H9" s="34">
        <f>IFERROR(HistoricalFS!H41/HistoricalFS!G41-1,0)</f>
        <v>7.2831552941588606E-2</v>
      </c>
      <c r="I9" s="34">
        <f>IFERROR(HistoricalFS!I41/HistoricalFS!H41-1,0)</f>
        <v>0.33942521789783719</v>
      </c>
      <c r="J9" s="34">
        <f>IFERROR(HistoricalFS!J41/HistoricalFS!I41-1,0)</f>
        <v>0.2982461844859472</v>
      </c>
      <c r="K9" s="34">
        <f>IFERROR(HistoricalFS!K41/HistoricalFS!J41-1,0)</f>
        <v>-0.25525493560081891</v>
      </c>
      <c r="L9" s="34">
        <f>IFERROR(HistoricalFS!L41/HistoricalFS!K41-1,0)</f>
        <v>0.10886910316879783</v>
      </c>
      <c r="M9" s="43"/>
      <c r="N9" s="44">
        <f t="shared" si="0"/>
        <v>0.13844751007596412</v>
      </c>
      <c r="O9" s="44">
        <f t="shared" si="1"/>
        <v>0.14285714285714279</v>
      </c>
    </row>
    <row r="10" spans="2:15" x14ac:dyDescent="0.3">
      <c r="N10" s="25"/>
    </row>
    <row r="11" spans="2:15" x14ac:dyDescent="0.3">
      <c r="B11" s="28" t="s">
        <v>41</v>
      </c>
      <c r="C11" s="30">
        <f>IFERROR(HistoricalFS!C13,0)</f>
        <v>0.35382642001488518</v>
      </c>
      <c r="D11" s="30">
        <f>IFERROR(HistoricalFS!D13,0)</f>
        <v>0.33465263558312119</v>
      </c>
      <c r="E11" s="30">
        <f>IFERROR(HistoricalFS!E13,0)</f>
        <v>0.3292243867375117</v>
      </c>
      <c r="F11" s="30">
        <f>IFERROR(HistoricalFS!F13,0)</f>
        <v>0.34897544684272364</v>
      </c>
      <c r="G11" s="30">
        <f>IFERROR(HistoricalFS!G13,0)</f>
        <v>0.35360356729835285</v>
      </c>
      <c r="H11" s="30">
        <f>IFERROR(HistoricalFS!H13,0)</f>
        <v>0.29245139732685294</v>
      </c>
      <c r="I11" s="30">
        <f>IFERROR(HistoricalFS!I13,0)</f>
        <v>0.31088223670495074</v>
      </c>
      <c r="J11" s="30">
        <f>IFERROR(HistoricalFS!J13,0)</f>
        <v>0.35173503221464147</v>
      </c>
      <c r="K11" s="30">
        <f>IFERROR(HistoricalFS!K13,0)</f>
        <v>0.32927727025785108</v>
      </c>
      <c r="L11" s="30">
        <f>IFERROR(HistoricalFS!L13,0)</f>
        <v>0.33987371689269824</v>
      </c>
      <c r="M11" s="41"/>
      <c r="N11" s="42">
        <f>IFERROR(AVERAGE(C11:L11),0)</f>
        <v>0.33445021098735889</v>
      </c>
      <c r="O11" s="42">
        <f>IFERROR(MEDIAN(C11:L11),0)</f>
        <v>0.33726317623790969</v>
      </c>
    </row>
    <row r="12" spans="2:15" x14ac:dyDescent="0.3">
      <c r="B12" t="s">
        <v>117</v>
      </c>
      <c r="C12" s="31">
        <f>IFERROR(HistoricalFS!C19,0)</f>
        <v>0.19876258050895004</v>
      </c>
      <c r="D12" s="31">
        <f>IFERROR(HistoricalFS!D19,0)</f>
        <v>0.19043659414367703</v>
      </c>
      <c r="E12" s="31">
        <f>IFERROR(HistoricalFS!E19,0)</f>
        <v>0.19568163000977651</v>
      </c>
      <c r="F12" s="31">
        <f>IFERROR(HistoricalFS!F19,0)</f>
        <v>0.2059135382522109</v>
      </c>
      <c r="G12" s="31">
        <f>IFERROR(HistoricalFS!G19,0)</f>
        <v>0.22362856178317034</v>
      </c>
      <c r="H12" s="31">
        <f>IFERROR(HistoricalFS!H19,0)</f>
        <v>0.16506524798909186</v>
      </c>
      <c r="I12" s="31">
        <f>IFERROR(HistoricalFS!I19,0)</f>
        <v>0.1815046657459756</v>
      </c>
      <c r="J12" s="31">
        <f>IFERROR(HistoricalFS!J19,0)</f>
        <v>0.21369313134654075</v>
      </c>
      <c r="K12" s="31">
        <f>IFERROR(HistoricalFS!K19,0)</f>
        <v>0.17714496888716388</v>
      </c>
      <c r="L12" s="31">
        <f>IFERROR(HistoricalFS!L19,0)</f>
        <v>0.18828171677129379</v>
      </c>
      <c r="N12" s="31">
        <f t="shared" ref="N12:N25" si="2">IFERROR(AVERAGE(C12:L12),0)</f>
        <v>0.19401126354378506</v>
      </c>
      <c r="O12" s="31">
        <f>IFERROR(MEDIAN(C12:L12),0)</f>
        <v>0.19305911207672677</v>
      </c>
    </row>
    <row r="13" spans="2:15" x14ac:dyDescent="0.3">
      <c r="B13" t="s">
        <v>118</v>
      </c>
      <c r="C13" s="31">
        <f>IFERROR(SUM(HistoricalFS!C27,HistoricalFS!C21)/HistoricalFS!C6,0)</f>
        <v>0.17653510591893901</v>
      </c>
      <c r="D13" s="31">
        <f>IFERROR(SUM(HistoricalFS!D27,HistoricalFS!D21)/HistoricalFS!D6,0)</f>
        <v>0.16901135543001156</v>
      </c>
      <c r="E13" s="31">
        <f>IFERROR(SUM(HistoricalFS!E27,HistoricalFS!E21)/HistoricalFS!E6,0)</f>
        <v>0.16334608965739841</v>
      </c>
      <c r="F13" s="31">
        <f>IFERROR(SUM(HistoricalFS!F27,HistoricalFS!F21)/HistoricalFS!F6,0)</f>
        <v>0.16729643144288442</v>
      </c>
      <c r="G13" s="31">
        <f>IFERROR(SUM(HistoricalFS!G27,HistoricalFS!G21)/HistoricalFS!G6,0)</f>
        <v>0.18718598577152007</v>
      </c>
      <c r="H13" s="31">
        <f>IFERROR(SUM(HistoricalFS!H27,HistoricalFS!H21)/HistoricalFS!H6,0)</f>
        <v>0.13701287366053996</v>
      </c>
      <c r="I13" s="31">
        <f>IFERROR(SUM(HistoricalFS!I27,HistoricalFS!I21)/HistoricalFS!I6,0)</f>
        <v>0.15662629292760288</v>
      </c>
      <c r="J13" s="31">
        <f>IFERROR(SUM(HistoricalFS!J27,HistoricalFS!J21)/HistoricalFS!J6,0)</f>
        <v>0.18966139480424279</v>
      </c>
      <c r="K13" s="31">
        <f>IFERROR(SUM(HistoricalFS!K27,HistoricalFS!K21)/HistoricalFS!K6,0)</f>
        <v>0.14687447095791206</v>
      </c>
      <c r="L13" s="31">
        <f>IFERROR(SUM(HistoricalFS!L27,HistoricalFS!L21)/HistoricalFS!L6,0)</f>
        <v>0.15374749111527419</v>
      </c>
      <c r="N13" s="31">
        <f t="shared" si="2"/>
        <v>0.16472974916863253</v>
      </c>
      <c r="O13" s="31">
        <f t="shared" ref="O13:O15" si="3">IFERROR(MEDIAN(C13:L13),0)</f>
        <v>0.1653212605501414</v>
      </c>
    </row>
    <row r="14" spans="2:15" x14ac:dyDescent="0.3">
      <c r="B14" t="s">
        <v>119</v>
      </c>
      <c r="C14" s="31">
        <f>IFERROR(HistoricalFS!C28,0)</f>
        <v>0.17405668175320793</v>
      </c>
      <c r="D14" s="31">
        <f>IFERROR(HistoricalFS!D28,0)</f>
        <v>0.16654650495852794</v>
      </c>
      <c r="E14" s="31">
        <f>IFERROR(HistoricalFS!E28,0)</f>
        <v>0.15760444446061442</v>
      </c>
      <c r="F14" s="31">
        <f>IFERROR(HistoricalFS!F28,0)</f>
        <v>0.16223340961098387</v>
      </c>
      <c r="G14" s="31">
        <f>IFERROR(HistoricalFS!G28,0)</f>
        <v>0.18296589245325004</v>
      </c>
      <c r="H14" s="31">
        <f>IFERROR(HistoricalFS!H28,0)</f>
        <v>0.13373432371359606</v>
      </c>
      <c r="I14" s="31">
        <f>IFERROR(HistoricalFS!I28,0)</f>
        <v>0.15243795121806938</v>
      </c>
      <c r="J14" s="31">
        <f>IFERROR(HistoricalFS!J28,0)</f>
        <v>0.18388110009570438</v>
      </c>
      <c r="K14" s="31">
        <f>IFERROR(HistoricalFS!K28,0)</f>
        <v>0.14017882581117827</v>
      </c>
      <c r="L14" s="31">
        <f>IFERROR(HistoricalFS!L28,0)</f>
        <v>0.14825590708512992</v>
      </c>
      <c r="N14" s="31">
        <f t="shared" si="2"/>
        <v>0.16018950411602623</v>
      </c>
      <c r="O14" s="31">
        <f t="shared" si="3"/>
        <v>0.15991892703579913</v>
      </c>
    </row>
    <row r="15" spans="2:15" x14ac:dyDescent="0.3">
      <c r="B15" s="32" t="s">
        <v>120</v>
      </c>
      <c r="C15" s="34">
        <f>IFERROR(HistoricalFS!C34,0)</f>
        <v>0.1114294990237014</v>
      </c>
      <c r="D15" s="34">
        <f>IFERROR(HistoricalFS!D34,0)</f>
        <v>0.10467501359620324</v>
      </c>
      <c r="E15" s="34">
        <f>IFERROR(HistoricalFS!E34,0)</f>
        <v>0.1005331045060507</v>
      </c>
      <c r="F15" s="34">
        <f>IFERROR(HistoricalFS!F34,0)</f>
        <v>0.1199376584822808</v>
      </c>
      <c r="G15" s="34">
        <f>IFERROR(HistoricalFS!G34,0)</f>
        <v>0.13241504200980173</v>
      </c>
      <c r="H15" s="34">
        <f>IFERROR(HistoricalFS!H34,0)</f>
        <v>9.5835303464314917E-2</v>
      </c>
      <c r="I15" s="34">
        <f>IFERROR(HistoricalFS!I34,0)</f>
        <v>0.10913377438741322</v>
      </c>
      <c r="J15" s="34">
        <f>IFERROR(HistoricalFS!J34,0)</f>
        <v>0.13344882465650537</v>
      </c>
      <c r="K15" s="34">
        <f>IFERROR(HistoricalFS!K34,0)</f>
        <v>9.9083573755619339E-2</v>
      </c>
      <c r="L15" s="34">
        <f>IFERROR(HistoricalFS!L34,0)</f>
        <v>0.10304539683235574</v>
      </c>
      <c r="M15" s="43"/>
      <c r="N15" s="44">
        <f t="shared" si="2"/>
        <v>0.11095371907142464</v>
      </c>
      <c r="O15" s="44">
        <f t="shared" si="3"/>
        <v>0.10690439399180823</v>
      </c>
    </row>
    <row r="16" spans="2:15" x14ac:dyDescent="0.3">
      <c r="N16" s="25"/>
    </row>
    <row r="17" spans="2:15" x14ac:dyDescent="0.3">
      <c r="B17" s="28" t="s">
        <v>121</v>
      </c>
      <c r="C17" s="30">
        <f>IFERROR(HistoricalFS!C16,0)</f>
        <v>0.15506383950593511</v>
      </c>
      <c r="D17" s="30">
        <f>IFERROR(HistoricalFS!D16,0)</f>
        <v>0.14421604143944414</v>
      </c>
      <c r="E17" s="30">
        <f>IFERROR(HistoricalFS!E16,0)</f>
        <v>0.13354275672773522</v>
      </c>
      <c r="F17" s="30">
        <f>IFERROR(HistoricalFS!F16,0)</f>
        <v>0.14306190859051271</v>
      </c>
      <c r="G17" s="30">
        <f>IFERROR(HistoricalFS!G16,0)</f>
        <v>0.12997500551518251</v>
      </c>
      <c r="H17" s="30">
        <f>IFERROR(HistoricalFS!H16,0)</f>
        <v>0.1273861493377611</v>
      </c>
      <c r="I17" s="30">
        <f>IFERROR(HistoricalFS!I16,0)</f>
        <v>0.12937757095897515</v>
      </c>
      <c r="J17" s="30">
        <f>IFERROR(HistoricalFS!J16,0)</f>
        <v>0.1380419008681007</v>
      </c>
      <c r="K17" s="30">
        <f>IFERROR(HistoricalFS!K16,0)</f>
        <v>0.15213230137068723</v>
      </c>
      <c r="L17" s="30">
        <f>IFERROR(HistoricalFS!L16,0)</f>
        <v>0.15159200012140442</v>
      </c>
      <c r="M17" s="41"/>
      <c r="N17" s="42">
        <f t="shared" si="2"/>
        <v>0.14043894744357382</v>
      </c>
      <c r="O17" s="42">
        <f>IFERROR(MEDIAN(C17:L17),0)</f>
        <v>0.1405519047293067</v>
      </c>
    </row>
    <row r="18" spans="2:15" x14ac:dyDescent="0.3">
      <c r="B18" t="s">
        <v>245</v>
      </c>
      <c r="C18" s="31">
        <f>IFERROR(HistoricalFS!C25,0)</f>
        <v>8.5536535513541137E-2</v>
      </c>
      <c r="D18" s="31">
        <f>IFERROR(HistoricalFS!D25,0)</f>
        <v>7.6614240170031891E-2</v>
      </c>
      <c r="E18" s="31">
        <f>IFERROR(HistoricalFS!E25,0)</f>
        <v>7.6420587151455596E-2</v>
      </c>
      <c r="F18" s="31">
        <f>IFERROR(HistoricalFS!F25,0)</f>
        <v>9.4240521613136924E-2</v>
      </c>
      <c r="G18" s="31">
        <f>IFERROR(HistoricalFS!G25,0)</f>
        <v>9.428860819828408E-2</v>
      </c>
      <c r="H18" s="31">
        <f>IFERROR(HistoricalFS!H25,0)</f>
        <v>9.561489810260014E-2</v>
      </c>
      <c r="I18" s="31">
        <f>IFERROR(HistoricalFS!I25,0)</f>
        <v>8.867507234394377E-2</v>
      </c>
      <c r="J18" s="31">
        <f>IFERROR(HistoricalFS!J25,0)</f>
        <v>7.3395284804680772E-2</v>
      </c>
      <c r="K18" s="31">
        <f>IFERROR(HistoricalFS!K25,0)</f>
        <v>7.2795233704518042E-2</v>
      </c>
      <c r="L18" s="31">
        <f>IFERROR(HistoricalFS!L25,0)</f>
        <v>8.0233089579524672E-2</v>
      </c>
      <c r="N18" s="31">
        <f t="shared" si="2"/>
        <v>8.3781407118171711E-2</v>
      </c>
      <c r="O18" s="31">
        <f t="shared" ref="O18:O25" si="4">IFERROR(MEDIAN(C18:L18),0)</f>
        <v>8.2884812546532904E-2</v>
      </c>
    </row>
    <row r="19" spans="2:15" x14ac:dyDescent="0.3">
      <c r="B19" s="32" t="s">
        <v>122</v>
      </c>
      <c r="C19" s="34">
        <f>IFERROR(SUM(HistoricalFS!C27,HistoricalFS!C21)/HistoricalFS!C6,0)</f>
        <v>0.17653510591893901</v>
      </c>
      <c r="D19" s="34">
        <f>IFERROR(SUM(HistoricalFS!D27,HistoricalFS!D21)/HistoricalFS!D6,0)</f>
        <v>0.16901135543001156</v>
      </c>
      <c r="E19" s="34">
        <f>IFERROR(SUM(HistoricalFS!E27,HistoricalFS!E21)/HistoricalFS!E6,0)</f>
        <v>0.16334608965739841</v>
      </c>
      <c r="F19" s="34">
        <f>IFERROR(SUM(HistoricalFS!F27,HistoricalFS!F21)/HistoricalFS!F6,0)</f>
        <v>0.16729643144288442</v>
      </c>
      <c r="G19" s="34">
        <f>IFERROR(SUM(HistoricalFS!G27,HistoricalFS!G21)/HistoricalFS!G6,0)</f>
        <v>0.18718598577152007</v>
      </c>
      <c r="H19" s="34">
        <f>IFERROR(SUM(HistoricalFS!H27,HistoricalFS!H21)/HistoricalFS!H6,0)</f>
        <v>0.13701287366053996</v>
      </c>
      <c r="I19" s="34">
        <f>IFERROR(SUM(HistoricalFS!I27,HistoricalFS!I21)/HistoricalFS!I6,0)</f>
        <v>0.15662629292760288</v>
      </c>
      <c r="J19" s="34">
        <f>IFERROR(SUM(HistoricalFS!J27,HistoricalFS!J21)/HistoricalFS!J6,0)</f>
        <v>0.18966139480424279</v>
      </c>
      <c r="K19" s="34">
        <f>IFERROR(SUM(HistoricalFS!K27,HistoricalFS!K21)/HistoricalFS!K6,0)</f>
        <v>0.14687447095791206</v>
      </c>
      <c r="L19" s="34">
        <f>IFERROR(SUM(HistoricalFS!L27,HistoricalFS!L21)/HistoricalFS!L6,0)</f>
        <v>0.15374749111527419</v>
      </c>
      <c r="M19" s="43"/>
      <c r="N19" s="44">
        <f t="shared" si="2"/>
        <v>0.16472974916863253</v>
      </c>
      <c r="O19" s="44">
        <f t="shared" si="4"/>
        <v>0.1653212605501414</v>
      </c>
    </row>
    <row r="20" spans="2:15" x14ac:dyDescent="0.3">
      <c r="N20" s="25"/>
    </row>
    <row r="21" spans="2:15" x14ac:dyDescent="0.3">
      <c r="B21" s="28" t="s">
        <v>123</v>
      </c>
      <c r="C21" s="30">
        <f>IFERROR((HistoricalFS!C18-HistoricalFS!C24)/SUM(HistoricalFS!C47:C49),0)</f>
        <v>0.32568533713528403</v>
      </c>
      <c r="D21" s="30">
        <f>IFERROR((HistoricalFS!D18-HistoricalFS!D24)/SUM(HistoricalFS!D47:D49),0)</f>
        <v>0.31793918820706524</v>
      </c>
      <c r="E21" s="30">
        <f>IFERROR((HistoricalFS!E18-HistoricalFS!E24)/SUM(HistoricalFS!E47:E49),0)</f>
        <v>0.29126564505590763</v>
      </c>
      <c r="F21" s="30">
        <f>IFERROR((HistoricalFS!F18-HistoricalFS!F24)/SUM(HistoricalFS!F47:F49),0)</f>
        <v>0.3005931373159112</v>
      </c>
      <c r="G21" s="30">
        <f>IFERROR((HistoricalFS!G18-HistoricalFS!G24)/SUM(HistoricalFS!G47:G49),0)</f>
        <v>0.29241025338485616</v>
      </c>
      <c r="H21" s="30">
        <f>IFERROR((HistoricalFS!H18-HistoricalFS!H24)/SUM(HistoricalFS!H47:H49),0)</f>
        <v>0.2589385678029722</v>
      </c>
      <c r="I21" s="30">
        <f>IFERROR((HistoricalFS!I18-HistoricalFS!I24)/SUM(HistoricalFS!I47:I49),0)</f>
        <v>0.30135928613070662</v>
      </c>
      <c r="J21" s="30">
        <f>IFERROR((HistoricalFS!J18-HistoricalFS!J24)/SUM(HistoricalFS!J47:J49),0)</f>
        <v>0.31750608885291864</v>
      </c>
      <c r="K21" s="30">
        <f>IFERROR((HistoricalFS!K18-HistoricalFS!K24)/SUM(HistoricalFS!K47:K49),0)</f>
        <v>0.22959184143918202</v>
      </c>
      <c r="L21" s="30">
        <f>IFERROR((HistoricalFS!L18-HistoricalFS!L24)/SUM(HistoricalFS!L47:L49),0)</f>
        <v>0.2162358718318835</v>
      </c>
      <c r="M21" s="41"/>
      <c r="N21" s="42">
        <f t="shared" si="2"/>
        <v>0.28515252171566874</v>
      </c>
      <c r="O21" s="42">
        <f t="shared" si="4"/>
        <v>0.29650169535038368</v>
      </c>
    </row>
    <row r="22" spans="2:15" x14ac:dyDescent="0.3">
      <c r="B22" t="s">
        <v>138</v>
      </c>
      <c r="C22" s="31">
        <f>IFERROR(HistoricalFS!C44,0)</f>
        <v>0.4113385169958591</v>
      </c>
      <c r="D22" s="31">
        <f>IFERROR(HistoricalFS!D44,0)</f>
        <v>0.52615112060007641</v>
      </c>
      <c r="E22" s="31">
        <f>IFERROR(HistoricalFS!E44,0)</f>
        <v>0.47930743898214867</v>
      </c>
      <c r="F22" s="31">
        <f>IFERROR(HistoricalFS!F44,0)</f>
        <v>0.52516614482135515</v>
      </c>
      <c r="G22" s="31">
        <f>IFERROR(HistoricalFS!G44,0)</f>
        <v>0.40448332231922424</v>
      </c>
      <c r="H22" s="31">
        <f>IFERROR(HistoricalFS!H44,0)</f>
        <v>0.34137106345444268</v>
      </c>
      <c r="I22" s="31">
        <f>IFERROR(HistoricalFS!I44,0)</f>
        <v>0.34632439483829069</v>
      </c>
      <c r="J22" s="31">
        <f>IFERROR(HistoricalFS!J44,0)</f>
        <v>0.32566559630800174</v>
      </c>
      <c r="K22" s="31">
        <f>IFERROR(HistoricalFS!K44,0)</f>
        <v>0.29191037925399443</v>
      </c>
      <c r="L22" s="31">
        <f>IFERROR(HistoricalFS!L44,0)</f>
        <v>0.28061046384779942</v>
      </c>
      <c r="N22" s="31">
        <f t="shared" si="2"/>
        <v>0.39323284414211923</v>
      </c>
      <c r="O22" s="31">
        <f t="shared" si="4"/>
        <v>0.37540385857875747</v>
      </c>
    </row>
    <row r="23" spans="2:15" x14ac:dyDescent="0.3">
      <c r="B23" t="s">
        <v>124</v>
      </c>
      <c r="C23" s="31">
        <f>IFERROR(HistoricalFS!C33/SUM(HistoricalFS!C47:C48),0)</f>
        <v>0.22072255122049375</v>
      </c>
      <c r="D23" s="31">
        <f>IFERROR(HistoricalFS!D33/SUM(HistoricalFS!D47:D48),0)</f>
        <v>0.20940093196024379</v>
      </c>
      <c r="E23" s="31">
        <f>IFERROR(HistoricalFS!E33/SUM(HistoricalFS!E47:E48),0)</f>
        <v>0.20424051401449772</v>
      </c>
      <c r="F23" s="31">
        <f>IFERROR(HistoricalFS!F33/SUM(HistoricalFS!F47:F48),0)</f>
        <v>0.23929434480797915</v>
      </c>
      <c r="G23" s="31">
        <f>IFERROR(HistoricalFS!G33/SUM(HistoricalFS!G47:G48),0)</f>
        <v>0.22450686342414569</v>
      </c>
      <c r="H23" s="31">
        <f>IFERROR(HistoricalFS!H33/SUM(HistoricalFS!H47:H48),0)</f>
        <v>0.20192722617865025</v>
      </c>
      <c r="I23" s="31">
        <f>IFERROR(HistoricalFS!I33/SUM(HistoricalFS!I47:I48),0)</f>
        <v>0.23535616983997826</v>
      </c>
      <c r="J23" s="31">
        <f>IFERROR(HistoricalFS!J33/SUM(HistoricalFS!J47:J48),0)</f>
        <v>0.25291831079168969</v>
      </c>
      <c r="K23" s="31">
        <f>IFERROR(HistoricalFS!K33/SUM(HistoricalFS!K47:K48),0)</f>
        <v>0.17317128363628317</v>
      </c>
      <c r="L23" s="31">
        <f>IFERROR(HistoricalFS!L33/SUM(HistoricalFS!L47:L48),0)</f>
        <v>0.17156982704609272</v>
      </c>
      <c r="N23" s="31">
        <f t="shared" si="2"/>
        <v>0.21331080229200539</v>
      </c>
      <c r="O23" s="31">
        <f t="shared" si="4"/>
        <v>0.21506174159036878</v>
      </c>
    </row>
    <row r="24" spans="2:15" x14ac:dyDescent="0.3">
      <c r="B24" t="s">
        <v>139</v>
      </c>
      <c r="C24" s="31">
        <f>IFERROR(C22*C23,0)</f>
        <v>9.0791686886580444E-2</v>
      </c>
      <c r="D24" s="31">
        <f t="shared" ref="D24:L24" si="5">IFERROR(D22*D23,0)</f>
        <v>0.11017653500558262</v>
      </c>
      <c r="E24" s="31">
        <f t="shared" si="5"/>
        <v>9.789399770868655E-2</v>
      </c>
      <c r="F24" s="31">
        <f t="shared" si="5"/>
        <v>0.12566928854035847</v>
      </c>
      <c r="G24" s="31">
        <f t="shared" si="5"/>
        <v>9.0809282001266783E-2</v>
      </c>
      <c r="H24" s="31">
        <f t="shared" si="5"/>
        <v>6.893211194101162E-2</v>
      </c>
      <c r="I24" s="31">
        <f t="shared" si="5"/>
        <v>8.1509583091288432E-2</v>
      </c>
      <c r="J24" s="31">
        <f t="shared" si="5"/>
        <v>8.2366792501188141E-2</v>
      </c>
      <c r="K24" s="31">
        <f t="shared" si="5"/>
        <v>5.055049508216846E-2</v>
      </c>
      <c r="L24" s="31">
        <f t="shared" si="5"/>
        <v>4.8144288749690803E-2</v>
      </c>
      <c r="N24" s="31">
        <f t="shared" si="2"/>
        <v>8.4684406150782238E-2</v>
      </c>
      <c r="O24" s="31">
        <f t="shared" si="4"/>
        <v>8.6579239693884286E-2</v>
      </c>
    </row>
    <row r="25" spans="2:15" x14ac:dyDescent="0.3">
      <c r="B25" s="32" t="s">
        <v>125</v>
      </c>
      <c r="C25" s="35">
        <f>IFERROR(SUM(HistoricalFS!C27,HistoricalFS!C21)/HistoricalFS!C21,0)</f>
        <v>71.228770425930904</v>
      </c>
      <c r="D25" s="35">
        <f>IFERROR(SUM(HistoricalFS!D27,HistoricalFS!D21)/HistoricalFS!D21,0)</f>
        <v>68.568603809983145</v>
      </c>
      <c r="E25" s="35">
        <f>IFERROR(SUM(HistoricalFS!E27,HistoricalFS!E21)/HistoricalFS!E21,0)</f>
        <v>28.449352765456695</v>
      </c>
      <c r="F25" s="35">
        <f>IFERROR(SUM(HistoricalFS!F27,HistoricalFS!F21)/HistoricalFS!F21,0)</f>
        <v>33.04280269715624</v>
      </c>
      <c r="G25" s="35">
        <f>IFERROR(SUM(HistoricalFS!G27,HistoricalFS!G21)/HistoricalFS!G21,0)</f>
        <v>44.355887809669362</v>
      </c>
      <c r="H25" s="35">
        <f>IFERROR(SUM(HistoricalFS!H27,HistoricalFS!H21)/HistoricalFS!H21,0)</f>
        <v>41.790692799496895</v>
      </c>
      <c r="I25" s="35">
        <f>IFERROR(SUM(HistoricalFS!I27,HistoricalFS!I21)/HistoricalFS!I21,0)</f>
        <v>37.395777085496682</v>
      </c>
      <c r="J25" s="35">
        <f>IFERROR(SUM(HistoricalFS!J27,HistoricalFS!J21)/HistoricalFS!J21,0)</f>
        <v>32.811717112638306</v>
      </c>
      <c r="K25" s="35">
        <f>IFERROR(SUM(HistoricalFS!K27,HistoricalFS!K21)/HistoricalFS!K21,0)</f>
        <v>21.9358206325434</v>
      </c>
      <c r="L25" s="35">
        <f>IFERROR(SUM(HistoricalFS!L27,HistoricalFS!L21)/HistoricalFS!L21,0)</f>
        <v>27.996929532777258</v>
      </c>
      <c r="M25" s="43"/>
      <c r="N25" s="45">
        <f t="shared" si="2"/>
        <v>40.757635467114888</v>
      </c>
      <c r="O25" s="45">
        <f t="shared" si="4"/>
        <v>35.219289891326461</v>
      </c>
    </row>
    <row r="26" spans="2:15" x14ac:dyDescent="0.3">
      <c r="N26" s="25"/>
    </row>
    <row r="27" spans="2:15" x14ac:dyDescent="0.3">
      <c r="B27" s="28" t="s">
        <v>126</v>
      </c>
      <c r="C27" s="36"/>
      <c r="D27" s="36">
        <f>IFERROR(HistoricalFS!D6/AVERAGE('Raw FS'!E32:F32),0)</f>
        <v>10.588137193203272</v>
      </c>
      <c r="E27" s="36">
        <f>IFERROR(HistoricalFS!E6/AVERAGE('Raw FS'!F32:G32),0)</f>
        <v>10.577311709730623</v>
      </c>
      <c r="F27" s="36">
        <f>IFERROR(HistoricalFS!F6/AVERAGE('Raw FS'!G32:H32),0)</f>
        <v>10.919097784981091</v>
      </c>
      <c r="G27" s="36">
        <f>IFERROR(HistoricalFS!G6/AVERAGE('Raw FS'!H32:I32),0)</f>
        <v>9.8761837616556747</v>
      </c>
      <c r="H27" s="36">
        <f>IFERROR(HistoricalFS!H6/AVERAGE('Raw FS'!I32:J32),0)</f>
        <v>8.9915896802101027</v>
      </c>
      <c r="I27" s="36">
        <f>IFERROR(HistoricalFS!I6/AVERAGE('Raw FS'!J32:K32),0)</f>
        <v>8.1073319228960976</v>
      </c>
      <c r="J27" s="36">
        <f>IFERROR(HistoricalFS!J6/AVERAGE('Raw FS'!K32:L32),0)</f>
        <v>7.4521792987612852</v>
      </c>
      <c r="K27" s="36">
        <f>IFERROR(HistoricalFS!K6/AVERAGE('Raw FS'!L32:M32),0)</f>
        <v>7.3683842225361298</v>
      </c>
      <c r="L27" s="36">
        <f>IFERROR(HistoricalFS!L6/AVERAGE('Raw FS'!M32:N32),0)</f>
        <v>8.1092844120328174</v>
      </c>
      <c r="M27" s="41"/>
      <c r="N27" s="46">
        <f>IFERROR(AVERAGE(D27:L27),0)</f>
        <v>9.1099444428896774</v>
      </c>
      <c r="O27" s="46">
        <f t="shared" ref="O27:O31" si="6">IFERROR(MEDIAN(D27:L27),0)</f>
        <v>8.9915896802101027</v>
      </c>
    </row>
    <row r="28" spans="2:15" x14ac:dyDescent="0.3">
      <c r="B28" t="s">
        <v>127</v>
      </c>
      <c r="C28" s="37"/>
      <c r="D28" s="37">
        <f>IFERROR(HistoricalFS!D9/AVERAGE('Raw FS'!E13:F13),0)</f>
        <v>5.4833063923585588</v>
      </c>
      <c r="E28" s="37">
        <f>IFERROR(HistoricalFS!E9/AVERAGE('Raw FS'!F13:G13),0)</f>
        <v>5.6679007465963984</v>
      </c>
      <c r="F28" s="37">
        <f>IFERROR(HistoricalFS!F9/AVERAGE('Raw FS'!G13:H13),0)</f>
        <v>5.8079982343853462</v>
      </c>
      <c r="G28" s="37">
        <f>IFERROR(HistoricalFS!G9/AVERAGE('Raw FS'!H13:I13),0)</f>
        <v>5.0888578680203036</v>
      </c>
      <c r="H28" s="37">
        <f>IFERROR(HistoricalFS!H9/AVERAGE('Raw FS'!I13:J13),0)</f>
        <v>5.4595174333819436</v>
      </c>
      <c r="I28" s="37">
        <f>IFERROR(HistoricalFS!I9/AVERAGE('Raw FS'!J13:K13),0)</f>
        <v>6.0948070265418641</v>
      </c>
      <c r="J28" s="37">
        <f>IFERROR(HistoricalFS!J9/AVERAGE('Raw FS'!K13:L13),0)</f>
        <v>6.163940530404501</v>
      </c>
      <c r="K28" s="37">
        <f>IFERROR(HistoricalFS!K9/AVERAGE('Raw FS'!L13:M13),0)</f>
        <v>5.9229769501237142</v>
      </c>
      <c r="L28" s="37">
        <f>IFERROR(HistoricalFS!L9/AVERAGE('Raw FS'!M13:N13),0)</f>
        <v>6.0924990273635062</v>
      </c>
      <c r="N28" s="37">
        <f t="shared" ref="N28:N31" si="7">IFERROR(AVERAGE(D28:L28),0)</f>
        <v>5.7535338010195707</v>
      </c>
      <c r="O28" s="37">
        <f>IFERROR(MEDIAN(D28:L28),0)</f>
        <v>5.8079982343853462</v>
      </c>
    </row>
    <row r="29" spans="2:15" x14ac:dyDescent="0.3">
      <c r="B29" t="s">
        <v>128</v>
      </c>
      <c r="C29" s="37"/>
      <c r="D29" s="37">
        <f>IFERROR(HistoricalFS!D9/AVERAGE(HistoricalFS!C60:D60),0)</f>
        <v>4.2360039733219805</v>
      </c>
      <c r="E29" s="37">
        <f>IFERROR(HistoricalFS!E9/AVERAGE(HistoricalFS!D60:E60),0)</f>
        <v>4.4440193727111978</v>
      </c>
      <c r="F29" s="37">
        <f>IFERROR(HistoricalFS!F9/AVERAGE(HistoricalFS!E60:F60),0)</f>
        <v>4.0240623762361105</v>
      </c>
      <c r="G29" s="37">
        <f>IFERROR(HistoricalFS!G9/AVERAGE(HistoricalFS!F60:G60),0)</f>
        <v>3.9049163862384026</v>
      </c>
      <c r="H29" s="37">
        <f>IFERROR(HistoricalFS!H9/AVERAGE(HistoricalFS!G60:H60),0)</f>
        <v>4.138150926787505</v>
      </c>
      <c r="I29" s="37">
        <f>IFERROR(HistoricalFS!I9/AVERAGE(HistoricalFS!H60:I60),0)</f>
        <v>3.8446183237595464</v>
      </c>
      <c r="J29" s="37">
        <f>IFERROR(HistoricalFS!J9/AVERAGE(HistoricalFS!I60:J60),0)</f>
        <v>3.792631479184609</v>
      </c>
      <c r="K29" s="37">
        <f>IFERROR(HistoricalFS!K9/AVERAGE(HistoricalFS!J60:K60),0)</f>
        <v>3.5975394457504262</v>
      </c>
      <c r="L29" s="37">
        <f>IFERROR(HistoricalFS!L9/AVERAGE(HistoricalFS!K60:L60),0)</f>
        <v>3.7695106138509629</v>
      </c>
      <c r="N29" s="37">
        <f t="shared" si="7"/>
        <v>3.9723836553156371</v>
      </c>
      <c r="O29" s="37">
        <f t="shared" si="6"/>
        <v>3.9049163862384026</v>
      </c>
    </row>
    <row r="30" spans="2:15" x14ac:dyDescent="0.3">
      <c r="B30" t="s">
        <v>129</v>
      </c>
      <c r="C30" s="37"/>
      <c r="D30" s="37">
        <f>IFERROR(HistoricalFS!D6/AVERAGE(HistoricalFS!C53:D53),0)</f>
        <v>4.7824325822415643</v>
      </c>
      <c r="E30" s="37">
        <f>IFERROR(HistoricalFS!E6/AVERAGE(HistoricalFS!D53:E53),0)</f>
        <v>3.7619525262005324</v>
      </c>
      <c r="F30" s="37">
        <f>IFERROR(HistoricalFS!F6/AVERAGE(HistoricalFS!E53:F53),0)</f>
        <v>3.1657069106350053</v>
      </c>
      <c r="G30" s="37">
        <f>IFERROR(HistoricalFS!G6/AVERAGE(HistoricalFS!F53:G53),0)</f>
        <v>3.5797698920848777</v>
      </c>
      <c r="H30" s="37">
        <f>IFERROR(HistoricalFS!H6/AVERAGE(HistoricalFS!G53:H53),0)</f>
        <v>5.1155482976168916</v>
      </c>
      <c r="I30" s="37">
        <f>IFERROR(HistoricalFS!I6/AVERAGE(HistoricalFS!H53:I53),0)</f>
        <v>6.1098416938895532</v>
      </c>
      <c r="J30" s="37">
        <f>IFERROR(HistoricalFS!J6/AVERAGE(HistoricalFS!I53:J53),0)</f>
        <v>5.4957823285138749</v>
      </c>
      <c r="K30" s="37">
        <f>IFERROR(HistoricalFS!K6/AVERAGE(HistoricalFS!J53:K53),0)</f>
        <v>4.1432394517655338</v>
      </c>
      <c r="L30" s="37">
        <f>IFERROR(HistoricalFS!L6/AVERAGE(HistoricalFS!K53:L53),0)</f>
        <v>3.7733640573519724</v>
      </c>
      <c r="N30" s="37">
        <f t="shared" si="7"/>
        <v>4.4364041933666449</v>
      </c>
      <c r="O30" s="37">
        <f t="shared" si="6"/>
        <v>4.1432394517655338</v>
      </c>
    </row>
    <row r="31" spans="2:15" x14ac:dyDescent="0.3">
      <c r="B31" s="32" t="s">
        <v>130</v>
      </c>
      <c r="C31" s="35"/>
      <c r="D31" s="35">
        <f>IFERROR(HistoricalFS!D6/AVERAGE(SUM(HistoricalFS!D47:D48),SUM(HistoricalFS!C47:C48)),0)</f>
        <v>2.1012144282670544</v>
      </c>
      <c r="E31" s="35">
        <f>IFERROR(HistoricalFS!E6/AVERAGE(SUM(HistoricalFS!E47:E48),SUM(HistoricalFS!D47:D48)),0)</f>
        <v>2.1520459398303657</v>
      </c>
      <c r="F31" s="35">
        <f>IFERROR(HistoricalFS!F6/AVERAGE(SUM(HistoricalFS!F47:F48),SUM(HistoricalFS!E47:E48)),0)</f>
        <v>2.0622977432960337</v>
      </c>
      <c r="G31" s="35">
        <f>IFERROR(HistoricalFS!G6/AVERAGE(SUM(HistoricalFS!G47:G48),SUM(HistoricalFS!F47:F48)),0)</f>
        <v>1.893299965775</v>
      </c>
      <c r="H31" s="35">
        <f>IFERROR(HistoricalFS!H6/AVERAGE(SUM(HistoricalFS!H47:H48),SUM(HistoricalFS!G47:G48)),0)</f>
        <v>2.1865988425060627</v>
      </c>
      <c r="I31" s="35">
        <f>IFERROR(HistoricalFS!I6/AVERAGE(SUM(HistoricalFS!I47:I48),SUM(HistoricalFS!H47:H48)),0)</f>
        <v>2.3143761246472341</v>
      </c>
      <c r="J31" s="35">
        <f>IFERROR(HistoricalFS!J6/AVERAGE(SUM(HistoricalFS!J47:J48),SUM(HistoricalFS!I47:I48)),0)</f>
        <v>2.0445960934352101</v>
      </c>
      <c r="K31" s="35">
        <f>IFERROR(HistoricalFS!K6/AVERAGE(SUM(HistoricalFS!K47:K48),SUM(HistoricalFS!J47:J48)),0)</f>
        <v>1.7785103956110073</v>
      </c>
      <c r="L31" s="35">
        <f>IFERROR(HistoricalFS!L6/AVERAGE(SUM(HistoricalFS!L47:L48),SUM(HistoricalFS!K47:K48)),0)</f>
        <v>1.7455147480832154</v>
      </c>
      <c r="M31" s="43"/>
      <c r="N31" s="45">
        <f t="shared" si="7"/>
        <v>2.0309393646056875</v>
      </c>
      <c r="O31" s="45">
        <f t="shared" si="6"/>
        <v>2.0622977432960337</v>
      </c>
    </row>
    <row r="32" spans="2:15" ht="15" thickBot="1" x14ac:dyDescent="0.35">
      <c r="N32" s="25"/>
    </row>
    <row r="33" spans="2:15" ht="15" thickBot="1" x14ac:dyDescent="0.35">
      <c r="B33" s="27" t="s">
        <v>131</v>
      </c>
      <c r="C33" s="27">
        <v>365</v>
      </c>
      <c r="N33" s="25"/>
    </row>
    <row r="34" spans="2:15" x14ac:dyDescent="0.3">
      <c r="B34" t="s">
        <v>132</v>
      </c>
      <c r="D34" s="38">
        <f>IFERROR($C$33/D27,0)</f>
        <v>34.472541613297238</v>
      </c>
      <c r="E34" s="38">
        <f t="shared" ref="E34:L34" si="8">IFERROR($C$33/E27,0)</f>
        <v>34.507822972090104</v>
      </c>
      <c r="F34" s="38">
        <f t="shared" si="8"/>
        <v>33.427670233162225</v>
      </c>
      <c r="G34" s="38">
        <f t="shared" si="8"/>
        <v>36.957595039605685</v>
      </c>
      <c r="H34" s="38">
        <f t="shared" si="8"/>
        <v>40.593489358543685</v>
      </c>
      <c r="I34" s="38">
        <f t="shared" si="8"/>
        <v>45.020976502663636</v>
      </c>
      <c r="J34" s="38">
        <f t="shared" si="8"/>
        <v>48.978961102112905</v>
      </c>
      <c r="K34" s="38">
        <f t="shared" si="8"/>
        <v>49.535961884784882</v>
      </c>
      <c r="L34" s="38">
        <f t="shared" si="8"/>
        <v>45.010136709276253</v>
      </c>
      <c r="M34" s="41"/>
      <c r="N34" s="47">
        <f t="shared" ref="N34:N37" si="9">IFERROR(AVERAGE(D34:L34),0)</f>
        <v>40.945017268392952</v>
      </c>
      <c r="O34" s="47">
        <f>IFERROR(MEDIAN(D34:L34),0)</f>
        <v>40.593489358543685</v>
      </c>
    </row>
    <row r="35" spans="2:15" x14ac:dyDescent="0.3">
      <c r="B35" t="s">
        <v>133</v>
      </c>
      <c r="D35" s="39">
        <f>IFERROR($C$33/D28,0)</f>
        <v>66.565676597729009</v>
      </c>
      <c r="E35" s="39">
        <f t="shared" ref="E35:L35" si="10">IFERROR($C$33/E28,0)</f>
        <v>64.397740242572922</v>
      </c>
      <c r="F35" s="39">
        <f t="shared" si="10"/>
        <v>62.844371721581204</v>
      </c>
      <c r="G35" s="39">
        <f t="shared" si="10"/>
        <v>71.725328053226676</v>
      </c>
      <c r="H35" s="39">
        <f t="shared" si="10"/>
        <v>66.855725703562356</v>
      </c>
      <c r="I35" s="39">
        <f t="shared" si="10"/>
        <v>59.887047844252677</v>
      </c>
      <c r="J35" s="39">
        <f t="shared" si="10"/>
        <v>59.215366890641839</v>
      </c>
      <c r="K35" s="39">
        <f t="shared" si="10"/>
        <v>61.624416754209413</v>
      </c>
      <c r="L35" s="39">
        <f t="shared" si="10"/>
        <v>59.909734636092615</v>
      </c>
      <c r="N35" s="39">
        <f t="shared" si="9"/>
        <v>63.669489827096527</v>
      </c>
      <c r="O35" s="47">
        <f t="shared" ref="O35:O37" si="11">IFERROR(MEDIAN(D35:L35),0)</f>
        <v>62.844371721581204</v>
      </c>
    </row>
    <row r="36" spans="2:15" x14ac:dyDescent="0.3">
      <c r="B36" t="s">
        <v>140</v>
      </c>
      <c r="D36" s="39">
        <f>IFERROR($C$33/D29,0)</f>
        <v>86.166113700256489</v>
      </c>
      <c r="E36" s="39">
        <f t="shared" ref="E36:L36" si="12">IFERROR($C$33/E29,0)</f>
        <v>82.132855279908824</v>
      </c>
      <c r="F36" s="39">
        <f t="shared" si="12"/>
        <v>90.704359394498553</v>
      </c>
      <c r="G36" s="39">
        <f t="shared" si="12"/>
        <v>93.471911789538652</v>
      </c>
      <c r="H36" s="39">
        <f t="shared" si="12"/>
        <v>88.203646135099717</v>
      </c>
      <c r="I36" s="39">
        <f t="shared" si="12"/>
        <v>94.937902611637284</v>
      </c>
      <c r="J36" s="39">
        <f t="shared" si="12"/>
        <v>96.239247605061962</v>
      </c>
      <c r="K36" s="39">
        <f t="shared" si="12"/>
        <v>101.45823430265769</v>
      </c>
      <c r="L36" s="39">
        <f t="shared" si="12"/>
        <v>96.829545633541272</v>
      </c>
      <c r="N36" s="39">
        <f t="shared" si="9"/>
        <v>92.238201828022284</v>
      </c>
      <c r="O36" s="47">
        <f t="shared" si="11"/>
        <v>93.471911789538652</v>
      </c>
    </row>
    <row r="37" spans="2:15" x14ac:dyDescent="0.3">
      <c r="B37" s="32" t="s">
        <v>134</v>
      </c>
      <c r="C37" s="32"/>
      <c r="D37" s="40">
        <f>IFERROR(ABS(D34+D36-D35),0)</f>
        <v>54.072978715824718</v>
      </c>
      <c r="E37" s="40">
        <f t="shared" ref="E37:L37" si="13">IFERROR(ABS(E34+E36-E35),0)</f>
        <v>52.242938009426013</v>
      </c>
      <c r="F37" s="40">
        <f t="shared" si="13"/>
        <v>61.287657906079581</v>
      </c>
      <c r="G37" s="40">
        <f t="shared" si="13"/>
        <v>58.704178775917669</v>
      </c>
      <c r="H37" s="40">
        <f t="shared" si="13"/>
        <v>61.941409790081039</v>
      </c>
      <c r="I37" s="40">
        <f t="shared" si="13"/>
        <v>80.071831270048236</v>
      </c>
      <c r="J37" s="40">
        <f t="shared" si="13"/>
        <v>86.002841816533049</v>
      </c>
      <c r="K37" s="40">
        <f t="shared" si="13"/>
        <v>89.369779433233163</v>
      </c>
      <c r="L37" s="40">
        <f t="shared" si="13"/>
        <v>81.929947706724903</v>
      </c>
      <c r="M37" s="43"/>
      <c r="N37" s="48">
        <f t="shared" si="9"/>
        <v>69.513729269318702</v>
      </c>
      <c r="O37" s="47">
        <f t="shared" si="11"/>
        <v>61.941409790081039</v>
      </c>
    </row>
    <row r="38" spans="2:15" x14ac:dyDescent="0.3">
      <c r="N38" s="25"/>
    </row>
    <row r="39" spans="2:15" x14ac:dyDescent="0.3">
      <c r="B39" s="28" t="s">
        <v>135</v>
      </c>
      <c r="C39" s="36"/>
      <c r="D39" s="36">
        <f>IFERROR(HistoricalFS!D77/HistoricalFS!D6,0)</f>
        <v>0.12559028324680305</v>
      </c>
      <c r="E39" s="36">
        <f>IFERROR(HistoricalFS!E77/HistoricalFS!E6,0)</f>
        <v>0.12832553626196913</v>
      </c>
      <c r="F39" s="36">
        <f>IFERROR(HistoricalFS!F77/HistoricalFS!F6,0)</f>
        <v>0.15031232605603315</v>
      </c>
      <c r="G39" s="36">
        <f>IFERROR(HistoricalFS!G77/HistoricalFS!G6,0)</f>
        <v>0.16966958184553896</v>
      </c>
      <c r="H39" s="36">
        <f>IFERROR(HistoricalFS!H77/HistoricalFS!H6,0)</f>
        <v>3.3881671184222827E-2</v>
      </c>
      <c r="I39" s="36">
        <f>IFERROR(HistoricalFS!I77/HistoricalFS!I6,0)</f>
        <v>0.12160543530483561</v>
      </c>
      <c r="J39" s="36">
        <f>IFERROR(HistoricalFS!J77/HistoricalFS!J6,0)</f>
        <v>0.171969190919328</v>
      </c>
      <c r="K39" s="36">
        <f>IFERROR(HistoricalFS!K77/HistoricalFS!K6,0)</f>
        <v>0.13047984375451621</v>
      </c>
      <c r="L39" s="36">
        <f>IFERROR(HistoricalFS!L77/HistoricalFS!L6,0)</f>
        <v>0.19919322248432841</v>
      </c>
      <c r="M39" s="41"/>
      <c r="N39" s="46">
        <f t="shared" ref="N39:N41" si="14">IFERROR(AVERAGE(C39:L39),0)</f>
        <v>0.13678078789528614</v>
      </c>
      <c r="O39" s="46">
        <f>IFERROR(MEDIAN(C39:L39),0)</f>
        <v>0.13047984375451621</v>
      </c>
    </row>
    <row r="40" spans="2:15" x14ac:dyDescent="0.3">
      <c r="B40" t="s">
        <v>136</v>
      </c>
      <c r="C40" s="37">
        <f>IFERROR(HistoricalFS!C77/HistoricalFS!C64,0)</f>
        <v>0.12317425206707838</v>
      </c>
      <c r="D40" s="37">
        <f>IFERROR(HistoricalFS!D77/HistoricalFS!D64,0)</f>
        <v>0.15352221967118782</v>
      </c>
      <c r="E40" s="37">
        <f>IFERROR(HistoricalFS!E77/HistoricalFS!E64,0)</f>
        <v>0.15194930838139831</v>
      </c>
      <c r="F40" s="37">
        <f>IFERROR(HistoricalFS!F77/HistoricalFS!F64,0)</f>
        <v>0.18825168221281857</v>
      </c>
      <c r="G40" s="37">
        <f>IFERROR(HistoricalFS!G77/HistoricalFS!G64,0)</f>
        <v>0.18098444928947391</v>
      </c>
      <c r="H40" s="37">
        <f>IFERROR(HistoricalFS!H77/HistoricalFS!H64,0)</f>
        <v>4.2947187590789089E-2</v>
      </c>
      <c r="I40" s="37">
        <f>IFERROR(HistoricalFS!I77/HistoricalFS!I64,0)</f>
        <v>0.16268847949112719</v>
      </c>
      <c r="J40" s="37">
        <f>IFERROR(HistoricalFS!J77/HistoricalFS!J64,0)</f>
        <v>0.20414190002464816</v>
      </c>
      <c r="K40" s="37">
        <f>IFERROR(HistoricalFS!K77/HistoricalFS!K64,0)</f>
        <v>0.14574085207665891</v>
      </c>
      <c r="L40" s="37">
        <f>IFERROR(HistoricalFS!L77/HistoricalFS!L64,0)</f>
        <v>0.20533767879775483</v>
      </c>
      <c r="N40" s="37">
        <f t="shared" si="14"/>
        <v>0.15587380096029352</v>
      </c>
      <c r="O40" s="37">
        <f t="shared" ref="O40:O41" si="15">IFERROR(MEDIAN(C40:L40),0)</f>
        <v>0.15810534958115752</v>
      </c>
    </row>
    <row r="41" spans="2:15" x14ac:dyDescent="0.3">
      <c r="B41" s="32" t="s">
        <v>137</v>
      </c>
      <c r="C41" s="35">
        <f>IFERROR(HistoricalFS!C77/HistoricalFS!C49,0)</f>
        <v>2.7269158011207479</v>
      </c>
      <c r="D41" s="35">
        <f>IFERROR(HistoricalFS!D77/HistoricalFS!D49,0)</f>
        <v>3.9611570402864484</v>
      </c>
      <c r="E41" s="35">
        <f>IFERROR(HistoricalFS!E77/HistoricalFS!E49,0)</f>
        <v>1.8710215216732344</v>
      </c>
      <c r="F41" s="35">
        <f>IFERROR(HistoricalFS!F77/HistoricalFS!F49,0)</f>
        <v>2.7161376843987481</v>
      </c>
      <c r="G41" s="35">
        <f>IFERROR(HistoricalFS!G77/HistoricalFS!G49,0)</f>
        <v>3.3701697892271665</v>
      </c>
      <c r="H41" s="35">
        <f>IFERROR(HistoricalFS!H77/HistoricalFS!H49,0)</f>
        <v>0.62134502923976609</v>
      </c>
      <c r="I41" s="35">
        <f>IFERROR(HistoricalFS!I77/HistoricalFS!I49,0)</f>
        <v>2.1701110409702893</v>
      </c>
      <c r="J41" s="35">
        <f>IFERROR(HistoricalFS!J77/HistoricalFS!J49,0)</f>
        <v>2.4668805923099928</v>
      </c>
      <c r="K41" s="35">
        <f>IFERROR(HistoricalFS!K77/HistoricalFS!K49,0)</f>
        <v>1.9316331119639871</v>
      </c>
      <c r="L41" s="35">
        <f>IFERROR(HistoricalFS!L77/HistoricalFS!L49,0)</f>
        <v>1.8040535209331803</v>
      </c>
      <c r="M41" s="43"/>
      <c r="N41" s="45">
        <f t="shared" si="14"/>
        <v>2.3639425132123559</v>
      </c>
      <c r="O41" s="45">
        <f t="shared" si="15"/>
        <v>2.3184958166401408</v>
      </c>
    </row>
  </sheetData>
  <mergeCells count="1">
    <mergeCell ref="B2:L2"/>
  </mergeCells>
  <pageMargins left="0.7" right="0.7" top="0.75" bottom="0.75" header="0.3" footer="0.3"/>
  <ignoredErrors>
    <ignoredError sqref="D27:L28" formulaRange="1"/>
  </ignoredErrors>
  <extLst>
    <ext xmlns:x14="http://schemas.microsoft.com/office/spreadsheetml/2009/9/main" uri="{05C60535-1F16-4fd2-B633-F4F36F0B64E0}">
      <x14:sparklineGroups xmlns:xm="http://schemas.microsoft.com/office/excel/2006/main">
        <x14:sparklineGroup displayEmptyCellsAs="gap" markers="1" xr2:uid="{19D1F7DF-8566-4CBA-AB3A-9DBE6DCDCAC9}">
          <x14:colorSeries rgb="FF002060"/>
          <x14:colorNegative rgb="FFD00000"/>
          <x14:colorAxis rgb="FF000000"/>
          <x14:colorMarkers theme="1"/>
          <x14:colorFirst rgb="FFD00000"/>
          <x14:colorLast rgb="FFD00000"/>
          <x14:colorHigh rgb="FFD00000"/>
          <x14:colorLow rgb="FFD00000"/>
          <x14:sparklines>
            <x14:sparkline>
              <xm:f>'Ratio Analysis'!C39:L39</xm:f>
              <xm:sqref>M39</xm:sqref>
            </x14:sparkline>
            <x14:sparkline>
              <xm:f>'Ratio Analysis'!C40:L40</xm:f>
              <xm:sqref>M40</xm:sqref>
            </x14:sparkline>
            <x14:sparkline>
              <xm:f>'Ratio Analysis'!C41:L41</xm:f>
              <xm:sqref>M41</xm:sqref>
            </x14:sparkline>
          </x14:sparklines>
        </x14:sparklineGroup>
        <x14:sparklineGroup displayEmptyCellsAs="gap" markers="1" xr2:uid="{40526823-7F10-4155-BE02-FB653CACD159}">
          <x14:colorSeries rgb="FF002060"/>
          <x14:colorNegative rgb="FFD00000"/>
          <x14:colorAxis rgb="FF000000"/>
          <x14:colorMarkers theme="1"/>
          <x14:colorFirst rgb="FFD00000"/>
          <x14:colorLast rgb="FFD00000"/>
          <x14:colorHigh rgb="FFD00000"/>
          <x14:colorLow rgb="FFD00000"/>
          <x14:sparklines>
            <x14:sparkline>
              <xm:f>'Ratio Analysis'!D27:L27</xm:f>
              <xm:sqref>M27</xm:sqref>
            </x14:sparkline>
            <x14:sparkline>
              <xm:f>'Ratio Analysis'!D28:L28</xm:f>
              <xm:sqref>M28</xm:sqref>
            </x14:sparkline>
            <x14:sparkline>
              <xm:f>'Ratio Analysis'!D29:L29</xm:f>
              <xm:sqref>M29</xm:sqref>
            </x14:sparkline>
            <x14:sparkline>
              <xm:f>'Ratio Analysis'!D30:L30</xm:f>
              <xm:sqref>M30</xm:sqref>
            </x14:sparkline>
            <x14:sparkline>
              <xm:f>'Ratio Analysis'!D31:L31</xm:f>
              <xm:sqref>M31</xm:sqref>
            </x14:sparkline>
          </x14:sparklines>
        </x14:sparklineGroup>
        <x14:sparklineGroup displayEmptyCellsAs="gap" markers="1" xr2:uid="{D7033678-6F6F-45CE-8394-B357A301DD6D}">
          <x14:colorSeries rgb="FF002060"/>
          <x14:colorNegative rgb="FFD00000"/>
          <x14:colorAxis rgb="FF000000"/>
          <x14:colorMarkers theme="1"/>
          <x14:colorFirst rgb="FFD00000"/>
          <x14:colorLast rgb="FFD00000"/>
          <x14:colorHigh rgb="FFD00000"/>
          <x14:colorLow rgb="FFD00000"/>
          <x14:sparklines>
            <x14:sparkline>
              <xm:f>'Ratio Analysis'!D34:L34</xm:f>
              <xm:sqref>M34</xm:sqref>
            </x14:sparkline>
            <x14:sparkline>
              <xm:f>'Ratio Analysis'!D35:L35</xm:f>
              <xm:sqref>M35</xm:sqref>
            </x14:sparkline>
            <x14:sparkline>
              <xm:f>'Ratio Analysis'!D36:L36</xm:f>
              <xm:sqref>M36</xm:sqref>
            </x14:sparkline>
            <x14:sparkline>
              <xm:f>'Ratio Analysis'!D37:L37</xm:f>
              <xm:sqref>M37</xm:sqref>
            </x14:sparkline>
          </x14:sparklines>
        </x14:sparklineGroup>
        <x14:sparklineGroup displayEmptyCellsAs="gap" markers="1" xr2:uid="{BA254EFA-A306-45F5-B09B-EBF5D64A51D9}">
          <x14:colorSeries rgb="FF002060"/>
          <x14:colorNegative rgb="FFD00000"/>
          <x14:colorAxis rgb="FF000000"/>
          <x14:colorMarkers theme="1"/>
          <x14:colorFirst rgb="FFD00000"/>
          <x14:colorLast rgb="FFD00000"/>
          <x14:colorHigh rgb="FFD00000"/>
          <x14:colorLow rgb="FFD00000"/>
          <x14:sparklines>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s>
        </x14:sparklineGroup>
        <x14:sparklineGroup displayEmptyCellsAs="gap" markers="1" xr2:uid="{19C21498-70BD-4B58-B15E-A65981AB91ED}">
          <x14:colorSeries rgb="FF002060"/>
          <x14:colorNegative rgb="FFD00000"/>
          <x14:colorAxis rgb="FF000000"/>
          <x14:colorMarkers theme="1"/>
          <x14:colorFirst rgb="FFD00000"/>
          <x14:colorLast rgb="FFD00000"/>
          <x14:colorHigh rgb="FFD00000"/>
          <x14:colorLow rgb="FFD00000"/>
          <x14:sparklines>
            <x14:sparkline>
              <xm:f>'Ratio Analysis'!C17:L17</xm:f>
              <xm:sqref>M17</xm:sqref>
            </x14:sparkline>
            <x14:sparkline>
              <xm:f>'Ratio Analysis'!C18:L18</xm:f>
              <xm:sqref>M18</xm:sqref>
            </x14:sparkline>
            <x14:sparkline>
              <xm:f>'Ratio Analysis'!C19:L19</xm:f>
              <xm:sqref>M19</xm:sqref>
            </x14:sparkline>
          </x14:sparklines>
        </x14:sparklineGroup>
        <x14:sparklineGroup displayEmptyCellsAs="gap" markers="1" xr2:uid="{4E917CC2-2542-4D1B-BB81-465115C7C5E5}">
          <x14:colorSeries rgb="FF002060"/>
          <x14:colorNegative rgb="FFD00000"/>
          <x14:colorAxis rgb="FF000000"/>
          <x14:colorMarkers theme="1"/>
          <x14:colorFirst rgb="FFD00000"/>
          <x14:colorLast rgb="FFD00000"/>
          <x14:colorHigh rgb="FFD00000"/>
          <x14:colorLow rgb="FFD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s>
        </x14:sparklineGroup>
        <x14:sparklineGroup displayEmptyCellsAs="gap" markers="1" xr2:uid="{6A2CF5B3-FF5F-4A2E-B163-81B7E3077D40}">
          <x14:colorSeries rgb="FF002060"/>
          <x14:colorNegative rgb="FFD00000"/>
          <x14:colorAxis rgb="FF000000"/>
          <x14:colorMarkers theme="1"/>
          <x14:colorFirst rgb="FFD00000"/>
          <x14:colorLast rgb="FFD00000"/>
          <x14:colorHigh rgb="FFD00000"/>
          <x14:colorLow rgb="FFD0000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C0371-4C27-43E3-AC6B-3D1E7C20D333}">
  <dimension ref="B2:L62"/>
  <sheetViews>
    <sheetView showGridLines="0" zoomScale="83" workbookViewId="0">
      <selection activeCell="C4" sqref="C4"/>
    </sheetView>
  </sheetViews>
  <sheetFormatPr defaultRowHeight="14.4" x14ac:dyDescent="0.3"/>
  <cols>
    <col min="1" max="1" width="1.88671875" customWidth="1"/>
    <col min="2" max="2" width="31.109375" bestFit="1" customWidth="1"/>
    <col min="3" max="4" width="11.5546875" bestFit="1" customWidth="1"/>
    <col min="5" max="5" width="12.44140625" bestFit="1" customWidth="1"/>
    <col min="6" max="6" width="11.5546875" bestFit="1" customWidth="1"/>
    <col min="7" max="7" width="12.5546875" bestFit="1" customWidth="1"/>
    <col min="8" max="8" width="13.6640625" customWidth="1"/>
    <col min="9" max="9" width="10.44140625" bestFit="1" customWidth="1"/>
    <col min="10" max="10" width="26.44140625" bestFit="1" customWidth="1"/>
    <col min="11" max="11" width="1.88671875" customWidth="1"/>
  </cols>
  <sheetData>
    <row r="2" spans="2:12" x14ac:dyDescent="0.3">
      <c r="B2" s="279" t="str">
        <f>"Forecast"&amp;" - "&amp;Datasheet!$B$1</f>
        <v>Forecast - ASIAN PAINTS LTD</v>
      </c>
      <c r="C2" s="279"/>
      <c r="D2" s="279"/>
      <c r="E2" s="279"/>
      <c r="F2" s="279"/>
      <c r="G2" s="279"/>
      <c r="H2" s="279"/>
      <c r="I2" s="279"/>
      <c r="J2" s="279"/>
      <c r="K2" s="279"/>
      <c r="L2" s="279"/>
    </row>
    <row r="4" spans="2:12" ht="15" thickBot="1" x14ac:dyDescent="0.35">
      <c r="B4" s="109" t="s">
        <v>271</v>
      </c>
    </row>
    <row r="5" spans="2:12" ht="15" thickBot="1" x14ac:dyDescent="0.35">
      <c r="B5" s="112" t="s">
        <v>292</v>
      </c>
      <c r="C5" s="147">
        <v>0.06</v>
      </c>
      <c r="D5" s="147">
        <v>0.06</v>
      </c>
      <c r="E5" s="147">
        <v>7.0000000000000007E-2</v>
      </c>
      <c r="F5" s="147">
        <v>7.0000000000000007E-2</v>
      </c>
      <c r="G5" s="147">
        <v>7.0000000000000007E-2</v>
      </c>
    </row>
    <row r="6" spans="2:12" ht="15" thickBot="1" x14ac:dyDescent="0.35">
      <c r="B6" s="112" t="s">
        <v>293</v>
      </c>
      <c r="C6" s="144">
        <f>HistoricalFS!$L$6*(1+'Forecast(Explicit)'!C5)</f>
        <v>37718.5524</v>
      </c>
      <c r="D6" s="144">
        <f>C6*(1+D5)</f>
        <v>39981.665544000003</v>
      </c>
      <c r="E6" s="144">
        <f>D6*(1+E5)</f>
        <v>42780.382132080005</v>
      </c>
      <c r="F6" s="144">
        <f t="shared" ref="F6:G6" si="0">E6*(1+F5)</f>
        <v>45775.008881325608</v>
      </c>
      <c r="G6" s="144">
        <f t="shared" si="0"/>
        <v>48979.259503018402</v>
      </c>
    </row>
    <row r="9" spans="2:12" x14ac:dyDescent="0.3">
      <c r="B9" s="109" t="s">
        <v>274</v>
      </c>
    </row>
    <row r="10" spans="2:12" x14ac:dyDescent="0.3">
      <c r="B10" s="110" t="s">
        <v>9</v>
      </c>
      <c r="C10" s="111">
        <v>2027</v>
      </c>
      <c r="D10" s="111">
        <f>C10+1</f>
        <v>2028</v>
      </c>
      <c r="E10" s="111">
        <f t="shared" ref="E10" si="1">D10+1</f>
        <v>2029</v>
      </c>
      <c r="F10" s="111">
        <f>E10+1</f>
        <v>2030</v>
      </c>
      <c r="G10" s="111">
        <f>F10+1</f>
        <v>2031</v>
      </c>
    </row>
    <row r="11" spans="2:12" x14ac:dyDescent="0.3">
      <c r="B11" s="104" t="s">
        <v>273</v>
      </c>
      <c r="C11" s="146">
        <v>0.35</v>
      </c>
      <c r="D11" s="146">
        <v>0.35</v>
      </c>
      <c r="E11" s="146">
        <v>0.36</v>
      </c>
      <c r="F11" s="146">
        <v>0.36</v>
      </c>
      <c r="G11" s="146">
        <v>0.36</v>
      </c>
    </row>
    <row r="12" spans="2:12" x14ac:dyDescent="0.3">
      <c r="B12" s="104" t="s">
        <v>2</v>
      </c>
      <c r="C12" s="163">
        <f>C6*C11</f>
        <v>13201.493339999999</v>
      </c>
      <c r="D12" s="163">
        <f>D6*D11</f>
        <v>13993.5829404</v>
      </c>
      <c r="E12" s="163">
        <f>E6*E11</f>
        <v>15400.937567548801</v>
      </c>
      <c r="F12" s="163">
        <f>F6*F11</f>
        <v>16479.003197277219</v>
      </c>
      <c r="G12" s="163">
        <f>G6*G11</f>
        <v>17632.533421086624</v>
      </c>
    </row>
    <row r="13" spans="2:12" ht="15" thickBot="1" x14ac:dyDescent="0.35"/>
    <row r="14" spans="2:12" ht="15" thickBot="1" x14ac:dyDescent="0.35">
      <c r="B14" s="112" t="s">
        <v>294</v>
      </c>
      <c r="C14" s="144">
        <f>C6-C12</f>
        <v>24517.05906</v>
      </c>
      <c r="D14" s="144">
        <f>D6-D12</f>
        <v>25988.082603600003</v>
      </c>
      <c r="E14" s="144">
        <f>E6-E12</f>
        <v>27379.444564531204</v>
      </c>
      <c r="F14" s="144">
        <f>F6-F12</f>
        <v>29296.005684048389</v>
      </c>
      <c r="G14" s="144">
        <f>G6-G12</f>
        <v>31346.726081931778</v>
      </c>
    </row>
    <row r="17" spans="2:8" x14ac:dyDescent="0.3">
      <c r="B17" s="109" t="s">
        <v>275</v>
      </c>
    </row>
    <row r="18" spans="2:8" x14ac:dyDescent="0.3">
      <c r="B18" s="110" t="s">
        <v>9</v>
      </c>
      <c r="C18" s="111">
        <v>2027</v>
      </c>
      <c r="D18" s="111">
        <f>C18+1</f>
        <v>2028</v>
      </c>
      <c r="E18" s="111">
        <f t="shared" ref="E18" si="2">D18+1</f>
        <v>2029</v>
      </c>
      <c r="F18" s="111">
        <f>E18+1</f>
        <v>2030</v>
      </c>
      <c r="G18" s="111">
        <f>F18+1</f>
        <v>2031</v>
      </c>
    </row>
    <row r="19" spans="2:8" ht="15" thickBot="1" x14ac:dyDescent="0.35">
      <c r="B19" s="222" t="s">
        <v>673</v>
      </c>
      <c r="C19" s="222">
        <f>C6*$H$19</f>
        <v>5657.7828600000003</v>
      </c>
      <c r="D19" s="222">
        <f>D6*$H$19</f>
        <v>5997.2498316000001</v>
      </c>
      <c r="E19" s="222">
        <f>E6*$H$19</f>
        <v>6417.057319812001</v>
      </c>
      <c r="F19" s="222">
        <f>F6*$H$19</f>
        <v>6866.2513321988408</v>
      </c>
      <c r="G19" s="222">
        <f>G6*$H$19</f>
        <v>7346.8889254527603</v>
      </c>
      <c r="H19" s="152">
        <v>0.15</v>
      </c>
    </row>
    <row r="20" spans="2:8" ht="15" thickBot="1" x14ac:dyDescent="0.35">
      <c r="B20" s="115" t="s">
        <v>277</v>
      </c>
      <c r="C20" s="144">
        <f>SUM(C19)</f>
        <v>5657.7828600000003</v>
      </c>
      <c r="D20" s="144">
        <f t="shared" ref="D20:G20" si="3">SUM(D19)</f>
        <v>5997.2498316000001</v>
      </c>
      <c r="E20" s="144">
        <f t="shared" si="3"/>
        <v>6417.057319812001</v>
      </c>
      <c r="F20" s="144">
        <f t="shared" si="3"/>
        <v>6866.2513321988408</v>
      </c>
      <c r="G20" s="144">
        <f t="shared" si="3"/>
        <v>7346.8889254527603</v>
      </c>
    </row>
    <row r="23" spans="2:8" x14ac:dyDescent="0.3">
      <c r="B23" s="109" t="s">
        <v>278</v>
      </c>
    </row>
    <row r="24" spans="2:8" x14ac:dyDescent="0.3">
      <c r="B24" s="110" t="s">
        <v>9</v>
      </c>
      <c r="C24" s="111">
        <v>2027</v>
      </c>
      <c r="D24" s="111">
        <f>C24+1</f>
        <v>2028</v>
      </c>
      <c r="E24" s="111">
        <f t="shared" ref="E24" si="4">D24+1</f>
        <v>2029</v>
      </c>
      <c r="F24" s="111">
        <f>E24+1</f>
        <v>2030</v>
      </c>
      <c r="G24" s="111">
        <f>F24+1</f>
        <v>2031</v>
      </c>
    </row>
    <row r="25" spans="2:8" ht="15" thickBot="1" x14ac:dyDescent="0.35">
      <c r="B25" s="116" t="s">
        <v>295</v>
      </c>
      <c r="C25" s="148">
        <f>C26/C6</f>
        <v>0.2</v>
      </c>
      <c r="D25" s="148">
        <f>D26/D6</f>
        <v>0.19999999999999998</v>
      </c>
      <c r="E25" s="148">
        <f>E26/E6</f>
        <v>0.21</v>
      </c>
      <c r="F25" s="148">
        <f>F26/F6</f>
        <v>0.21000000000000002</v>
      </c>
      <c r="G25" s="148">
        <f>G26/G6</f>
        <v>0.21</v>
      </c>
    </row>
    <row r="26" spans="2:8" ht="15" thickBot="1" x14ac:dyDescent="0.35">
      <c r="B26" s="112" t="s">
        <v>674</v>
      </c>
      <c r="C26" s="144">
        <f>C6-C14-C20</f>
        <v>7543.7104800000006</v>
      </c>
      <c r="D26" s="144">
        <f>D6-D14-D20</f>
        <v>7996.3331087999995</v>
      </c>
      <c r="E26" s="144">
        <f>E6-E14-E20</f>
        <v>8983.8802477368008</v>
      </c>
      <c r="F26" s="144">
        <f>F6-F14-F20</f>
        <v>9612.7518650783786</v>
      </c>
      <c r="G26" s="144">
        <f>G6-G14-G20</f>
        <v>10285.644495633864</v>
      </c>
    </row>
    <row r="28" spans="2:8" x14ac:dyDescent="0.3">
      <c r="B28" s="109" t="s">
        <v>279</v>
      </c>
    </row>
    <row r="29" spans="2:8" x14ac:dyDescent="0.3">
      <c r="B29" s="110" t="s">
        <v>9</v>
      </c>
      <c r="C29" s="111">
        <v>2027</v>
      </c>
      <c r="D29" s="111">
        <f>C29+1</f>
        <v>2028</v>
      </c>
      <c r="E29" s="111">
        <f t="shared" ref="E29" si="5">D29+1</f>
        <v>2029</v>
      </c>
      <c r="F29" s="111">
        <f>E29+1</f>
        <v>2030</v>
      </c>
      <c r="G29" s="111">
        <f>F29+1</f>
        <v>2031</v>
      </c>
    </row>
    <row r="30" spans="2:8" ht="15" thickBot="1" x14ac:dyDescent="0.35">
      <c r="B30" s="116" t="s">
        <v>4</v>
      </c>
      <c r="C30" s="119">
        <v>0.08</v>
      </c>
      <c r="D30" s="119">
        <v>0.08</v>
      </c>
      <c r="E30" s="119">
        <v>0.08</v>
      </c>
      <c r="F30" s="119">
        <v>0.08</v>
      </c>
      <c r="G30" s="119">
        <v>0.08</v>
      </c>
    </row>
    <row r="31" spans="2:8" ht="15" thickBot="1" x14ac:dyDescent="0.35">
      <c r="B31" s="112" t="s">
        <v>884</v>
      </c>
      <c r="C31" s="144">
        <f>'PPE Schedule'!H10</f>
        <v>1346.0595404942203</v>
      </c>
      <c r="D31" s="144">
        <f>'PPE Schedule'!I10</f>
        <v>1435.9656783766452</v>
      </c>
      <c r="E31" s="144">
        <f>'PPE Schedule'!J10</f>
        <v>1592.6432504287573</v>
      </c>
      <c r="F31" s="144">
        <f>'PPE Schedule'!K10</f>
        <v>1760.9217330781328</v>
      </c>
      <c r="G31" s="144">
        <f>'PPE Schedule'!L10</f>
        <v>1916.0313811865087</v>
      </c>
    </row>
    <row r="33" spans="2:10" x14ac:dyDescent="0.3">
      <c r="B33" s="109" t="s">
        <v>280</v>
      </c>
    </row>
    <row r="34" spans="2:10" x14ac:dyDescent="0.3">
      <c r="B34" s="110" t="s">
        <v>9</v>
      </c>
      <c r="C34" s="111">
        <v>2027</v>
      </c>
      <c r="D34" s="111">
        <f>C34+1</f>
        <v>2028</v>
      </c>
      <c r="E34" s="111">
        <f t="shared" ref="E34" si="6">D34+1</f>
        <v>2029</v>
      </c>
      <c r="F34" s="111">
        <f>E34+1</f>
        <v>2030</v>
      </c>
      <c r="G34" s="111">
        <f>F34+1</f>
        <v>2031</v>
      </c>
    </row>
    <row r="35" spans="2:10" x14ac:dyDescent="0.3">
      <c r="B35" s="116" t="s">
        <v>5</v>
      </c>
      <c r="C35" s="118">
        <v>195.41</v>
      </c>
      <c r="D35" s="118">
        <v>195.41</v>
      </c>
      <c r="E35" s="118">
        <v>195.41</v>
      </c>
      <c r="F35" s="118">
        <v>195.41</v>
      </c>
      <c r="G35" s="118">
        <v>195.41</v>
      </c>
    </row>
    <row r="37" spans="2:10" x14ac:dyDescent="0.3">
      <c r="B37" s="109" t="s">
        <v>281</v>
      </c>
    </row>
    <row r="38" spans="2:10" x14ac:dyDescent="0.3">
      <c r="B38" s="110" t="s">
        <v>9</v>
      </c>
      <c r="C38" s="111">
        <v>2027</v>
      </c>
      <c r="D38" s="111">
        <f>C38+1</f>
        <v>2028</v>
      </c>
      <c r="E38" s="111">
        <f t="shared" ref="E38" si="7">D38+1</f>
        <v>2029</v>
      </c>
      <c r="F38" s="111">
        <f>E38+1</f>
        <v>2030</v>
      </c>
      <c r="G38" s="111">
        <f>F38+1</f>
        <v>2031</v>
      </c>
    </row>
    <row r="39" spans="2:10" x14ac:dyDescent="0.3">
      <c r="B39" s="229" t="s">
        <v>282</v>
      </c>
      <c r="C39" s="230">
        <f>$H$39*C6</f>
        <v>1659.6163056</v>
      </c>
      <c r="D39" s="230">
        <f>$H$39*D6</f>
        <v>1759.1932839359999</v>
      </c>
      <c r="E39" s="230">
        <f>$H$39*E6</f>
        <v>1882.3368138115202</v>
      </c>
      <c r="F39" s="230">
        <f>$H$39*F6</f>
        <v>2014.1003907783265</v>
      </c>
      <c r="G39" s="230">
        <f>$H$39*G6</f>
        <v>2155.0874181328095</v>
      </c>
      <c r="H39" s="143">
        <v>4.3999999999999997E-2</v>
      </c>
    </row>
    <row r="40" spans="2:10" x14ac:dyDescent="0.3">
      <c r="B40" s="116" t="s">
        <v>893</v>
      </c>
      <c r="C40" s="149">
        <f>'PPE Schedule'!C16</f>
        <v>600</v>
      </c>
      <c r="D40" s="149">
        <f>'PPE Schedule'!D16</f>
        <v>1000</v>
      </c>
      <c r="E40" s="149">
        <f>'PPE Schedule'!E16</f>
        <v>900</v>
      </c>
      <c r="F40" s="149">
        <f>'PPE Schedule'!F16</f>
        <v>400</v>
      </c>
      <c r="G40" s="149">
        <f>'PPE Schedule'!G16</f>
        <v>0</v>
      </c>
      <c r="H40" s="231" t="s">
        <v>894</v>
      </c>
    </row>
    <row r="41" spans="2:10" x14ac:dyDescent="0.3">
      <c r="B41" s="26"/>
    </row>
    <row r="42" spans="2:10" x14ac:dyDescent="0.3">
      <c r="B42" s="109" t="s">
        <v>291</v>
      </c>
    </row>
    <row r="43" spans="2:10" x14ac:dyDescent="0.3">
      <c r="B43" s="110" t="s">
        <v>9</v>
      </c>
      <c r="C43" s="111">
        <v>2027</v>
      </c>
      <c r="D43" s="111">
        <f>C43+1</f>
        <v>2028</v>
      </c>
      <c r="E43" s="111">
        <f t="shared" ref="E43" si="8">D43+1</f>
        <v>2029</v>
      </c>
      <c r="F43" s="111">
        <f>E43+1</f>
        <v>2030</v>
      </c>
      <c r="G43" s="111">
        <f>F43+1</f>
        <v>2031</v>
      </c>
    </row>
    <row r="44" spans="2:10" x14ac:dyDescent="0.3">
      <c r="B44" s="114" t="s">
        <v>286</v>
      </c>
      <c r="C44" s="151">
        <f>$H$44*C6</f>
        <v>4149.0407640000003</v>
      </c>
      <c r="D44" s="151">
        <f>$H$44*D6</f>
        <v>4397.9832098400002</v>
      </c>
      <c r="E44" s="151">
        <f>$H$44*E6</f>
        <v>4705.8420345288005</v>
      </c>
      <c r="F44" s="151">
        <f>$H$44*F6</f>
        <v>5035.2509769458165</v>
      </c>
      <c r="G44" s="151">
        <f>$H$44*G6</f>
        <v>5387.7185453320244</v>
      </c>
      <c r="H44" s="143">
        <v>0.11</v>
      </c>
    </row>
    <row r="45" spans="2:10" x14ac:dyDescent="0.3">
      <c r="B45" s="113" t="s">
        <v>223</v>
      </c>
      <c r="C45" s="151">
        <f>('Ratio Analysis'!$O$35/365)*C14</f>
        <v>4221.2580084564388</v>
      </c>
      <c r="D45" s="151">
        <f>('Ratio Analysis'!$O$35/365)*D14</f>
        <v>4474.5334889638261</v>
      </c>
      <c r="E45" s="151">
        <f>('Ratio Analysis'!$O$35/365)*E14</f>
        <v>4714.093128065274</v>
      </c>
      <c r="F45" s="151">
        <f>('Ratio Analysis'!$O$35/365)*F14</f>
        <v>5044.0796470298437</v>
      </c>
      <c r="G45" s="151">
        <f>('Ratio Analysis'!$O$35/365)*G14</f>
        <v>5397.1652223219326</v>
      </c>
      <c r="H45" s="155" t="s">
        <v>667</v>
      </c>
    </row>
    <row r="46" spans="2:10" x14ac:dyDescent="0.3">
      <c r="B46" s="113" t="s">
        <v>25</v>
      </c>
      <c r="C46" s="151">
        <f>(93/365)*C14</f>
        <v>6246.812308438356</v>
      </c>
      <c r="D46" s="151">
        <f>(93/365)*D14</f>
        <v>6621.6210469446587</v>
      </c>
      <c r="E46" s="151">
        <f>(93/365)*E14</f>
        <v>6976.1324506887731</v>
      </c>
      <c r="F46" s="151">
        <f>(93/365)*F14</f>
        <v>7464.461722236987</v>
      </c>
      <c r="G46" s="151">
        <f>(93/365)*G14</f>
        <v>7986.9740427935767</v>
      </c>
      <c r="H46" s="155" t="s">
        <v>667</v>
      </c>
    </row>
    <row r="47" spans="2:10" x14ac:dyDescent="0.3">
      <c r="B47" s="114" t="s">
        <v>283</v>
      </c>
      <c r="C47" s="151">
        <f>$H$47*C6</f>
        <v>5092.0045740000005</v>
      </c>
      <c r="D47" s="151">
        <f>$H$47*D6</f>
        <v>5397.5248484400008</v>
      </c>
      <c r="E47" s="151">
        <f>$H$47*E6</f>
        <v>5775.3515878308008</v>
      </c>
      <c r="F47" s="151">
        <f>$H$47*F6</f>
        <v>6179.6261989789573</v>
      </c>
      <c r="G47" s="151">
        <f>$H$47*G6</f>
        <v>6612.2000329074845</v>
      </c>
      <c r="H47" s="154">
        <v>0.13500000000000001</v>
      </c>
    </row>
    <row r="48" spans="2:10" ht="15" thickBot="1" x14ac:dyDescent="0.35">
      <c r="B48" s="117" t="s">
        <v>285</v>
      </c>
      <c r="C48" s="153">
        <f>(45/365)*'Forecast(Explicit)'!C6</f>
        <v>4650.2324876712328</v>
      </c>
      <c r="D48" s="153">
        <f>(45/365)*'Forecast(Explicit)'!D6</f>
        <v>4929.2464369315067</v>
      </c>
      <c r="E48" s="153">
        <f>(45/365)*'Forecast(Explicit)'!E6</f>
        <v>5274.2936875167125</v>
      </c>
      <c r="F48" s="153">
        <f>(45/365)*'Forecast(Explicit)'!F6</f>
        <v>5643.4942456428826</v>
      </c>
      <c r="G48" s="153">
        <f>(45/365)*'Forecast(Explicit)'!G6</f>
        <v>6038.5388428378847</v>
      </c>
      <c r="H48" s="155" t="s">
        <v>667</v>
      </c>
      <c r="J48" s="165"/>
    </row>
    <row r="49" spans="2:12" ht="15" thickBot="1" x14ac:dyDescent="0.35">
      <c r="B49" s="115" t="s">
        <v>284</v>
      </c>
      <c r="C49" s="144">
        <f>SUM(C46:C48)-SUM(C44:C45)</f>
        <v>7618.750597653152</v>
      </c>
      <c r="D49" s="144">
        <f t="shared" ref="D49:G49" si="9">SUM(D46:D48)-SUM(D44:D45)</f>
        <v>8075.8756335123398</v>
      </c>
      <c r="E49" s="144">
        <f>SUM(E46:E48)-SUM(E44:E45)</f>
        <v>8605.842563442211</v>
      </c>
      <c r="F49" s="144">
        <f t="shared" si="9"/>
        <v>9208.2515428831684</v>
      </c>
      <c r="G49" s="144">
        <f t="shared" si="9"/>
        <v>9852.8291508849888</v>
      </c>
      <c r="L49" s="165"/>
    </row>
    <row r="51" spans="2:12" x14ac:dyDescent="0.3">
      <c r="B51" s="109" t="s">
        <v>287</v>
      </c>
    </row>
    <row r="52" spans="2:12" x14ac:dyDescent="0.3">
      <c r="B52" s="110" t="s">
        <v>9</v>
      </c>
      <c r="C52" s="111">
        <v>2027</v>
      </c>
      <c r="D52" s="111">
        <f>C52+1</f>
        <v>2028</v>
      </c>
      <c r="E52" s="111">
        <f t="shared" ref="E52" si="10">D52+1</f>
        <v>2029</v>
      </c>
      <c r="F52" s="111">
        <f>E52+1</f>
        <v>2030</v>
      </c>
      <c r="G52" s="111">
        <f>F52+1</f>
        <v>2031</v>
      </c>
    </row>
    <row r="53" spans="2:12" x14ac:dyDescent="0.3">
      <c r="B53" s="104" t="s">
        <v>288</v>
      </c>
      <c r="C53" s="151">
        <f>'Raw FS'!N26</f>
        <v>15316</v>
      </c>
      <c r="D53" s="151">
        <f>C54</f>
        <v>16975.6163056</v>
      </c>
      <c r="E53" s="151">
        <f t="shared" ref="E53:G53" si="11">D54</f>
        <v>18734.809589536002</v>
      </c>
      <c r="F53" s="151">
        <f t="shared" si="11"/>
        <v>20617.14640334752</v>
      </c>
      <c r="G53" s="151">
        <f t="shared" si="11"/>
        <v>22631.246794125847</v>
      </c>
    </row>
    <row r="54" spans="2:12" x14ac:dyDescent="0.3">
      <c r="B54" s="116" t="s">
        <v>672</v>
      </c>
      <c r="C54" s="150">
        <f>C53+C39</f>
        <v>16975.6163056</v>
      </c>
      <c r="D54" s="150">
        <f t="shared" ref="D54:G54" si="12">D53+D39</f>
        <v>18734.809589536002</v>
      </c>
      <c r="E54" s="150">
        <f t="shared" si="12"/>
        <v>20617.14640334752</v>
      </c>
      <c r="F54" s="150">
        <f>F53+F39</f>
        <v>22631.246794125847</v>
      </c>
      <c r="G54" s="150">
        <f t="shared" si="12"/>
        <v>24786.334212258658</v>
      </c>
    </row>
    <row r="56" spans="2:12" x14ac:dyDescent="0.3">
      <c r="B56" s="109" t="s">
        <v>290</v>
      </c>
    </row>
    <row r="57" spans="2:12" x14ac:dyDescent="0.3">
      <c r="B57" s="110" t="s">
        <v>9</v>
      </c>
      <c r="C57" s="111">
        <v>2027</v>
      </c>
      <c r="D57" s="111">
        <f>C57+1</f>
        <v>2028</v>
      </c>
      <c r="E57" s="111">
        <f t="shared" ref="E57" si="13">D57+1</f>
        <v>2029</v>
      </c>
      <c r="F57" s="111">
        <f>E57+1</f>
        <v>2030</v>
      </c>
      <c r="G57" s="111">
        <f>F57+1</f>
        <v>2031</v>
      </c>
    </row>
    <row r="58" spans="2:12" x14ac:dyDescent="0.3">
      <c r="B58" s="116" t="s">
        <v>289</v>
      </c>
      <c r="C58" s="145">
        <v>0.6</v>
      </c>
      <c r="D58" s="145">
        <v>0.6</v>
      </c>
      <c r="E58" s="145">
        <v>0.6</v>
      </c>
      <c r="F58" s="145">
        <v>0.6</v>
      </c>
      <c r="G58" s="145">
        <v>0.6</v>
      </c>
    </row>
    <row r="60" spans="2:12" x14ac:dyDescent="0.3">
      <c r="B60" s="109" t="s">
        <v>666</v>
      </c>
    </row>
    <row r="61" spans="2:12" x14ac:dyDescent="0.3">
      <c r="B61" s="110" t="s">
        <v>9</v>
      </c>
      <c r="C61" s="111">
        <v>2027</v>
      </c>
      <c r="D61" s="111">
        <f>C61+1</f>
        <v>2028</v>
      </c>
      <c r="E61" s="111">
        <f t="shared" ref="E61" si="14">D61+1</f>
        <v>2029</v>
      </c>
      <c r="F61" s="111">
        <f>E61+1</f>
        <v>2030</v>
      </c>
      <c r="G61" s="111">
        <f>F61+1</f>
        <v>2031</v>
      </c>
    </row>
    <row r="62" spans="2:12" x14ac:dyDescent="0.3">
      <c r="B62" s="116" t="s">
        <v>224</v>
      </c>
      <c r="C62" s="150">
        <f>C26-C31</f>
        <v>6197.6509395057801</v>
      </c>
      <c r="D62" s="150">
        <f t="shared" ref="D62:G62" si="15">D26-D31</f>
        <v>6560.3674304233546</v>
      </c>
      <c r="E62" s="150">
        <f t="shared" si="15"/>
        <v>7391.236997308044</v>
      </c>
      <c r="F62" s="150">
        <f t="shared" si="15"/>
        <v>7851.8301320002456</v>
      </c>
      <c r="G62" s="150">
        <f t="shared" si="15"/>
        <v>8369.6131144473547</v>
      </c>
    </row>
  </sheetData>
  <mergeCells count="1">
    <mergeCell ref="B2:L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68A3E-D8F4-46B1-892C-30ED5650973D}">
  <dimension ref="B2:M40"/>
  <sheetViews>
    <sheetView showGridLines="0" zoomScale="80" workbookViewId="0">
      <selection activeCell="N25" sqref="N25"/>
    </sheetView>
  </sheetViews>
  <sheetFormatPr defaultRowHeight="14.4" x14ac:dyDescent="0.3"/>
  <cols>
    <col min="1" max="1" width="1.88671875" customWidth="1"/>
    <col min="2" max="2" width="26.88671875" customWidth="1"/>
    <col min="3" max="3" width="15.21875" customWidth="1"/>
    <col min="4" max="4" width="7.44140625" bestFit="1" customWidth="1"/>
    <col min="5" max="5" width="10" bestFit="1" customWidth="1"/>
    <col min="6" max="6" width="10.6640625" bestFit="1" customWidth="1"/>
    <col min="7" max="7" width="8.88671875" bestFit="1" customWidth="1"/>
    <col min="11" max="11" width="11.88671875" bestFit="1" customWidth="1"/>
  </cols>
  <sheetData>
    <row r="2" spans="2:13" x14ac:dyDescent="0.3">
      <c r="B2" s="279" t="str">
        <f>"Weighted Average Cost of Capital "&amp;" - "&amp;Datasheet!$B$1</f>
        <v>Weighted Average Cost of Capital  - ASIAN PAINTS LTD</v>
      </c>
      <c r="C2" s="279"/>
      <c r="D2" s="279"/>
      <c r="E2" s="279"/>
      <c r="F2" s="279"/>
      <c r="G2" s="279"/>
      <c r="H2" s="279"/>
      <c r="I2" s="279"/>
      <c r="J2" s="279"/>
      <c r="K2" s="279"/>
    </row>
    <row r="3" spans="2:13" x14ac:dyDescent="0.3">
      <c r="B3" s="280" t="s">
        <v>144</v>
      </c>
      <c r="C3" s="280"/>
      <c r="D3" s="280"/>
      <c r="E3" s="280"/>
      <c r="F3" s="280"/>
      <c r="G3" s="280"/>
      <c r="H3" s="280"/>
      <c r="I3" s="280"/>
      <c r="J3" s="280"/>
      <c r="K3" s="280"/>
      <c r="L3" s="13"/>
      <c r="M3" s="13"/>
    </row>
    <row r="5" spans="2:13" x14ac:dyDescent="0.3">
      <c r="B5" s="64" t="s">
        <v>145</v>
      </c>
    </row>
    <row r="6" spans="2:13" x14ac:dyDescent="0.3">
      <c r="B6" s="53"/>
      <c r="C6" s="53"/>
      <c r="D6" s="53"/>
      <c r="E6" s="53"/>
      <c r="F6" s="53"/>
      <c r="G6" s="53"/>
      <c r="H6" s="53" t="s">
        <v>153</v>
      </c>
      <c r="I6" s="53" t="s">
        <v>153</v>
      </c>
      <c r="J6" s="53" t="s">
        <v>156</v>
      </c>
      <c r="K6" s="53" t="s">
        <v>158</v>
      </c>
    </row>
    <row r="7" spans="2:13" ht="16.2" x14ac:dyDescent="0.3">
      <c r="B7" s="54" t="s">
        <v>146</v>
      </c>
      <c r="C7" s="54"/>
      <c r="D7" s="54" t="s">
        <v>147</v>
      </c>
      <c r="E7" s="54" t="s">
        <v>148</v>
      </c>
      <c r="F7" s="54" t="s">
        <v>149</v>
      </c>
      <c r="G7" s="54" t="s">
        <v>151</v>
      </c>
      <c r="H7" s="54" t="s">
        <v>154</v>
      </c>
      <c r="I7" s="54" t="s">
        <v>155</v>
      </c>
      <c r="J7" s="54" t="s">
        <v>157</v>
      </c>
      <c r="K7" s="54" t="s">
        <v>159</v>
      </c>
    </row>
    <row r="9" spans="2:13" x14ac:dyDescent="0.3">
      <c r="B9" s="51" t="s">
        <v>247</v>
      </c>
      <c r="C9" s="51"/>
      <c r="D9" s="65" t="s">
        <v>160</v>
      </c>
      <c r="E9" s="51">
        <v>635.13</v>
      </c>
      <c r="F9" s="51">
        <v>57863.35</v>
      </c>
      <c r="G9" s="66">
        <v>0.25</v>
      </c>
      <c r="H9" s="67">
        <f>E9/F9</f>
        <v>1.0976377966363856E-2</v>
      </c>
      <c r="I9" s="67">
        <f>IFERROR(E9/SUM(E9,F9),0)</f>
        <v>1.0857205178664472E-2</v>
      </c>
      <c r="J9" s="67">
        <f ca="1">Beta!L33</f>
        <v>0.93944960363982344</v>
      </c>
      <c r="K9" s="67">
        <f ca="1">J9/(1+(1-G9)*H9)</f>
        <v>0.9317789353085415</v>
      </c>
    </row>
    <row r="10" spans="2:13" x14ac:dyDescent="0.3">
      <c r="B10" s="51" t="s">
        <v>248</v>
      </c>
      <c r="C10" s="51"/>
      <c r="D10" s="65" t="s">
        <v>160</v>
      </c>
      <c r="E10" s="51">
        <v>302.73</v>
      </c>
      <c r="F10" s="51">
        <v>16046.48</v>
      </c>
      <c r="G10" s="66">
        <v>0.25</v>
      </c>
      <c r="H10" s="67">
        <f t="shared" ref="H10" si="0">E10/F10</f>
        <v>1.8865819793499883E-2</v>
      </c>
      <c r="I10" s="67">
        <f t="shared" ref="I10" si="1">IFERROR(E10/SUM(E10,F10),0)</f>
        <v>1.851649101088065E-2</v>
      </c>
      <c r="J10" s="67">
        <f ca="1">Beta!L23</f>
        <v>0.89048013915200064</v>
      </c>
      <c r="K10" s="67">
        <f t="shared" ref="K10" ca="1" si="2">J10/(1+(1-G10)*H10)</f>
        <v>0.87805620160102316</v>
      </c>
    </row>
    <row r="11" spans="2:13" x14ac:dyDescent="0.3">
      <c r="B11" s="51" t="s">
        <v>249</v>
      </c>
      <c r="C11" s="51"/>
      <c r="D11" s="65" t="s">
        <v>160</v>
      </c>
      <c r="E11" s="51">
        <v>79.099999999999994</v>
      </c>
      <c r="F11" s="51">
        <v>13906.24</v>
      </c>
      <c r="G11" s="66">
        <v>0.25</v>
      </c>
      <c r="H11" s="67">
        <f>E11/F11</f>
        <v>5.6880939779552194E-3</v>
      </c>
      <c r="I11" s="67">
        <f>IFERROR(E11/SUM(E11,F11),0)</f>
        <v>5.6559225589081132E-3</v>
      </c>
      <c r="J11" s="67">
        <f ca="1">Beta!L43</f>
        <v>0.57054979238169989</v>
      </c>
      <c r="K11" s="67">
        <f ca="1">J11/(1+(1-G11)*H11)</f>
        <v>0.56812612628347581</v>
      </c>
    </row>
    <row r="12" spans="2:13" x14ac:dyDescent="0.3">
      <c r="B12" s="51" t="s">
        <v>250</v>
      </c>
      <c r="C12" s="51"/>
      <c r="D12" s="65" t="s">
        <v>160</v>
      </c>
      <c r="E12" s="51">
        <v>18.37</v>
      </c>
      <c r="F12" s="51">
        <v>5075.5600000000004</v>
      </c>
      <c r="G12" s="66">
        <v>0.25</v>
      </c>
      <c r="H12" s="67">
        <f>E12/F12</f>
        <v>3.6193050619044991E-3</v>
      </c>
      <c r="I12" s="67">
        <f>IFERROR(E12/SUM(E12,F12),0)</f>
        <v>3.6062529324117137E-3</v>
      </c>
      <c r="J12" s="67">
        <f ca="1">Beta!L53</f>
        <v>0.87909785333199686</v>
      </c>
      <c r="K12" s="67">
        <f ca="1">J12/(1+(1-G12)*H12)</f>
        <v>0.87671802085394213</v>
      </c>
    </row>
    <row r="13" spans="2:13" x14ac:dyDescent="0.3">
      <c r="B13" s="51" t="s">
        <v>251</v>
      </c>
      <c r="C13" s="51"/>
      <c r="D13" s="65" t="s">
        <v>160</v>
      </c>
      <c r="E13" s="51">
        <v>32.32</v>
      </c>
      <c r="F13" s="51">
        <v>2236.1999999999998</v>
      </c>
      <c r="G13" s="66">
        <v>0.25</v>
      </c>
      <c r="H13" s="67">
        <f>E13/F13</f>
        <v>1.4453090063500583E-2</v>
      </c>
      <c r="I13" s="67">
        <f>IFERROR(E13/SUM(E13,F13),0)</f>
        <v>1.4247174369192249E-2</v>
      </c>
      <c r="J13" s="67">
        <f ca="1">Beta!L63</f>
        <v>1.0607295904180356</v>
      </c>
      <c r="K13" s="67">
        <f ca="1">J13/(1+(1-G13)*H13)</f>
        <v>1.0493547761023567</v>
      </c>
    </row>
    <row r="15" spans="2:13" x14ac:dyDescent="0.3">
      <c r="B15" s="56" t="s">
        <v>161</v>
      </c>
      <c r="C15" s="56"/>
      <c r="D15" s="54"/>
      <c r="E15" s="54"/>
      <c r="G15" s="53" t="s">
        <v>192</v>
      </c>
      <c r="H15" s="74">
        <f>AVERAGE(H9:H13)</f>
        <v>1.0720537372644808E-2</v>
      </c>
      <c r="I15" s="74">
        <f>AVERAGE(I9:I13)</f>
        <v>1.0576609210011439E-2</v>
      </c>
      <c r="J15" s="74">
        <f ca="1">AVERAGE(J9:J13)</f>
        <v>0.86806139578471131</v>
      </c>
      <c r="K15" s="74">
        <f ca="1">AVERAGE(K9:K13)</f>
        <v>0.86080681202986786</v>
      </c>
    </row>
    <row r="16" spans="2:13" x14ac:dyDescent="0.3">
      <c r="G16" s="54" t="s">
        <v>142</v>
      </c>
      <c r="H16" s="75">
        <f>MEDIAN(H9:H13)</f>
        <v>1.0976377966363856E-2</v>
      </c>
      <c r="I16" s="75">
        <f>MEDIAN(I9:I13)</f>
        <v>1.0857205178664472E-2</v>
      </c>
      <c r="J16" s="75">
        <f ca="1">MEDIAN(J9:J13)</f>
        <v>0.89048013915200064</v>
      </c>
      <c r="K16" s="75">
        <f ca="1">MEDIAN(K9:K13)</f>
        <v>0.87805620160102316</v>
      </c>
    </row>
    <row r="17" spans="2:11" x14ac:dyDescent="0.3">
      <c r="B17" t="s">
        <v>188</v>
      </c>
      <c r="E17" s="62">
        <f>K22+0.4%</f>
        <v>7.2400000000000006E-2</v>
      </c>
    </row>
    <row r="18" spans="2:11" x14ac:dyDescent="0.3">
      <c r="B18" t="s">
        <v>150</v>
      </c>
      <c r="E18" s="73">
        <v>0.25</v>
      </c>
    </row>
    <row r="19" spans="2:11" x14ac:dyDescent="0.3">
      <c r="B19" s="28" t="s">
        <v>162</v>
      </c>
      <c r="C19" s="28"/>
      <c r="D19" s="28"/>
      <c r="E19" s="63">
        <f>E17*(1-E18)</f>
        <v>5.4300000000000001E-2</v>
      </c>
    </row>
    <row r="20" spans="2:11" x14ac:dyDescent="0.3">
      <c r="G20" s="56" t="s">
        <v>252</v>
      </c>
      <c r="H20" s="54"/>
      <c r="I20" s="54"/>
      <c r="J20" s="54"/>
      <c r="K20" s="54"/>
    </row>
    <row r="22" spans="2:11" x14ac:dyDescent="0.3">
      <c r="G22" t="s">
        <v>163</v>
      </c>
      <c r="K22" s="62">
        <v>6.8400000000000002E-2</v>
      </c>
    </row>
    <row r="23" spans="2:11" x14ac:dyDescent="0.3">
      <c r="B23" s="56" t="s">
        <v>167</v>
      </c>
      <c r="C23" s="56"/>
      <c r="D23" s="54"/>
      <c r="E23" s="54"/>
      <c r="G23" t="s">
        <v>180</v>
      </c>
      <c r="K23" s="62">
        <f>'Market Return'!G5-WACC!K22</f>
        <v>4.5045454545454527E-2</v>
      </c>
    </row>
    <row r="24" spans="2:11" ht="16.2" x14ac:dyDescent="0.3">
      <c r="G24" t="s">
        <v>165</v>
      </c>
      <c r="K24" s="55">
        <f ca="1">K40</f>
        <v>0.88080029609261412</v>
      </c>
    </row>
    <row r="25" spans="2:11" x14ac:dyDescent="0.3">
      <c r="D25" s="59" t="s">
        <v>168</v>
      </c>
      <c r="E25" s="59" t="s">
        <v>169</v>
      </c>
      <c r="G25" s="28" t="s">
        <v>166</v>
      </c>
      <c r="H25" s="28"/>
      <c r="I25" s="28"/>
      <c r="J25" s="28"/>
      <c r="K25" s="63">
        <f ca="1">K22+K23*K24</f>
        <v>0.10807604970126275</v>
      </c>
    </row>
    <row r="26" spans="2:11" x14ac:dyDescent="0.3">
      <c r="B26" t="s">
        <v>148</v>
      </c>
      <c r="C26" s="51">
        <v>3928.93</v>
      </c>
      <c r="D26" s="55">
        <f>IFERROR(C26/$C$28,0)</f>
        <v>1.4981592598740235E-2</v>
      </c>
      <c r="E26" s="60">
        <f>I16</f>
        <v>1.0857205178664472E-2</v>
      </c>
    </row>
    <row r="27" spans="2:11" x14ac:dyDescent="0.3">
      <c r="B27" t="s">
        <v>55</v>
      </c>
      <c r="C27" s="51">
        <v>258321.56</v>
      </c>
      <c r="D27" s="55">
        <f>IFERROR(C27/$C$28,0)</f>
        <v>0.98501840740125979</v>
      </c>
      <c r="E27" s="60">
        <f>1-E26</f>
        <v>0.98914279482133549</v>
      </c>
    </row>
    <row r="28" spans="2:11" x14ac:dyDescent="0.3">
      <c r="B28" s="28" t="s">
        <v>170</v>
      </c>
      <c r="C28" s="28">
        <f>SUM(C26:C27)</f>
        <v>262250.49</v>
      </c>
      <c r="D28" s="58">
        <f>SUM(D26:D27)</f>
        <v>1</v>
      </c>
      <c r="E28" s="61">
        <f>SUM(E26:E27)</f>
        <v>1</v>
      </c>
      <c r="G28" s="56" t="s">
        <v>172</v>
      </c>
      <c r="H28" s="54"/>
      <c r="I28" s="54"/>
      <c r="J28" s="54"/>
      <c r="K28" s="54"/>
    </row>
    <row r="30" spans="2:11" x14ac:dyDescent="0.3">
      <c r="B30" t="s">
        <v>171</v>
      </c>
      <c r="D30" s="79">
        <f>D26/D27</f>
        <v>1.5209454448943402E-2</v>
      </c>
      <c r="E30" s="79">
        <f>E26/E27</f>
        <v>1.0976377966363856E-2</v>
      </c>
      <c r="J30" t="s">
        <v>173</v>
      </c>
      <c r="K30" t="s">
        <v>174</v>
      </c>
    </row>
    <row r="31" spans="2:11" x14ac:dyDescent="0.3">
      <c r="G31" t="s">
        <v>152</v>
      </c>
      <c r="J31" s="57">
        <f>E19</f>
        <v>5.4300000000000001E-2</v>
      </c>
      <c r="K31" s="50">
        <f>E26</f>
        <v>1.0857205178664472E-2</v>
      </c>
    </row>
    <row r="32" spans="2:11" ht="15" thickBot="1" x14ac:dyDescent="0.35">
      <c r="B32" s="68" t="s">
        <v>176</v>
      </c>
      <c r="G32" t="s">
        <v>154</v>
      </c>
      <c r="J32" s="57">
        <f ca="1">K25</f>
        <v>0.10807604970126275</v>
      </c>
      <c r="K32" s="50">
        <f>1-K31</f>
        <v>0.98914279482133549</v>
      </c>
    </row>
    <row r="33" spans="2:11" ht="15" thickBot="1" x14ac:dyDescent="0.35">
      <c r="B33" s="69" t="s">
        <v>177</v>
      </c>
      <c r="C33" s="69"/>
      <c r="D33" s="69"/>
      <c r="G33" s="86" t="s">
        <v>175</v>
      </c>
      <c r="H33" s="28"/>
      <c r="I33" s="28"/>
      <c r="J33" s="28"/>
      <c r="K33" s="85">
        <f ca="1">SUMPRODUCT(J31:J32,K31:K32)</f>
        <v>0.10749219209595809</v>
      </c>
    </row>
    <row r="34" spans="2:11" x14ac:dyDescent="0.3">
      <c r="B34" s="69" t="s">
        <v>261</v>
      </c>
      <c r="C34" s="69"/>
      <c r="D34" s="69"/>
    </row>
    <row r="35" spans="2:11" x14ac:dyDescent="0.3">
      <c r="B35" s="69" t="s">
        <v>178</v>
      </c>
      <c r="C35" s="69"/>
      <c r="D35" s="69"/>
      <c r="G35" s="56" t="s">
        <v>189</v>
      </c>
      <c r="H35" s="54"/>
      <c r="I35" s="54"/>
      <c r="J35" s="54"/>
      <c r="K35" s="54"/>
    </row>
    <row r="36" spans="2:11" x14ac:dyDescent="0.3">
      <c r="B36" s="69" t="s">
        <v>179</v>
      </c>
      <c r="C36" s="69"/>
      <c r="D36" s="69"/>
    </row>
    <row r="37" spans="2:11" x14ac:dyDescent="0.3">
      <c r="G37" t="s">
        <v>190</v>
      </c>
      <c r="K37" s="60">
        <f ca="1">K16</f>
        <v>0.87805620160102316</v>
      </c>
    </row>
    <row r="38" spans="2:11" x14ac:dyDescent="0.3">
      <c r="G38" t="s">
        <v>191</v>
      </c>
      <c r="K38" s="107">
        <f>E30</f>
        <v>1.0976377966363856E-2</v>
      </c>
    </row>
    <row r="39" spans="2:11" x14ac:dyDescent="0.3">
      <c r="G39" t="s">
        <v>150</v>
      </c>
      <c r="K39" s="80">
        <v>0.25</v>
      </c>
    </row>
    <row r="40" spans="2:11" x14ac:dyDescent="0.3">
      <c r="G40" s="28" t="s">
        <v>164</v>
      </c>
      <c r="H40" s="28"/>
      <c r="I40" s="28"/>
      <c r="J40" s="28"/>
      <c r="K40" s="77">
        <f ca="1">K37+K38*K39</f>
        <v>0.88080029609261412</v>
      </c>
    </row>
  </sheetData>
  <mergeCells count="2">
    <mergeCell ref="B2:K2"/>
    <mergeCell ref="B3:K3"/>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F938-0DE5-4ECE-A429-8619F1F18948}">
  <dimension ref="B2:L37"/>
  <sheetViews>
    <sheetView showGridLines="0" workbookViewId="0">
      <selection activeCell="Q6" sqref="Q6"/>
    </sheetView>
  </sheetViews>
  <sheetFormatPr defaultRowHeight="14.4" x14ac:dyDescent="0.3"/>
  <cols>
    <col min="1" max="1" width="1.88671875" customWidth="1"/>
    <col min="2" max="2" width="18.21875" bestFit="1" customWidth="1"/>
  </cols>
  <sheetData>
    <row r="2" spans="2:12" x14ac:dyDescent="0.3">
      <c r="B2" s="279" t="str">
        <f>"Common Size Income Statement"&amp;" - "&amp;Datasheet!$B$1</f>
        <v>Common Size Income Statement - ASIAN PAINTS LTD</v>
      </c>
      <c r="C2" s="279"/>
      <c r="D2" s="279"/>
      <c r="E2" s="279"/>
      <c r="F2" s="279"/>
      <c r="G2" s="279"/>
      <c r="H2" s="279"/>
      <c r="I2" s="279"/>
      <c r="J2" s="279"/>
      <c r="K2" s="279"/>
      <c r="L2" s="279"/>
    </row>
    <row r="3" spans="2:12" x14ac:dyDescent="0.3">
      <c r="B3" s="9" t="s">
        <v>9</v>
      </c>
      <c r="C3" s="10">
        <v>42825</v>
      </c>
      <c r="D3" s="10">
        <v>43190</v>
      </c>
      <c r="E3" s="10">
        <v>43555</v>
      </c>
      <c r="F3" s="10">
        <v>43921</v>
      </c>
      <c r="G3" s="10">
        <v>44286</v>
      </c>
      <c r="H3" s="10">
        <v>44651</v>
      </c>
      <c r="I3" s="10">
        <v>45016</v>
      </c>
      <c r="J3" s="10">
        <v>45382</v>
      </c>
      <c r="K3" s="10">
        <v>45747</v>
      </c>
      <c r="L3" s="10">
        <v>46112</v>
      </c>
    </row>
    <row r="5" spans="2:12" x14ac:dyDescent="0.3">
      <c r="B5" s="87" t="str">
        <f>Datasheet!A17</f>
        <v>Sales</v>
      </c>
      <c r="C5" s="88">
        <f>Datasheet!B17/Datasheet!B$17</f>
        <v>1</v>
      </c>
      <c r="D5" s="88">
        <f>Datasheet!C17/Datasheet!C$17</f>
        <v>1</v>
      </c>
      <c r="E5" s="88">
        <f>Datasheet!D17/Datasheet!D$17</f>
        <v>1</v>
      </c>
      <c r="F5" s="88">
        <f>Datasheet!E17/Datasheet!E$17</f>
        <v>1</v>
      </c>
      <c r="G5" s="88">
        <f>Datasheet!F17/Datasheet!F$17</f>
        <v>1</v>
      </c>
      <c r="H5" s="88">
        <f>Datasheet!G17/Datasheet!G$17</f>
        <v>1</v>
      </c>
      <c r="I5" s="88">
        <f>Datasheet!H17/Datasheet!H$17</f>
        <v>1</v>
      </c>
      <c r="J5" s="88">
        <f>Datasheet!I17/Datasheet!I$17</f>
        <v>1</v>
      </c>
      <c r="K5" s="88">
        <f>Datasheet!J17/Datasheet!J$17</f>
        <v>1</v>
      </c>
      <c r="L5" s="88">
        <f>Datasheet!K17/Datasheet!K$17</f>
        <v>1</v>
      </c>
    </row>
    <row r="6" spans="2:12" x14ac:dyDescent="0.3">
      <c r="B6" s="89" t="str">
        <f>Datasheet!A18</f>
        <v>Raw Material Cost</v>
      </c>
      <c r="C6" s="50">
        <f>Datasheet!B18/Datasheet!B$17</f>
        <v>0.4947951764673858</v>
      </c>
      <c r="D6" s="50">
        <f>Datasheet!C18/Datasheet!C$17</f>
        <v>0.48311366425847946</v>
      </c>
      <c r="E6" s="50">
        <f>Datasheet!D18/Datasheet!D$17</f>
        <v>0.51841645560606919</v>
      </c>
      <c r="F6" s="50">
        <f>Datasheet!E18/Datasheet!E$17</f>
        <v>0.4938828622673016</v>
      </c>
      <c r="G6" s="50">
        <f>Datasheet!F18/Datasheet!F$17</f>
        <v>0.48015708713619937</v>
      </c>
      <c r="H6" s="50">
        <f>Datasheet!G18/Datasheet!G$17</f>
        <v>0.58840195345359381</v>
      </c>
      <c r="I6" s="50">
        <f>Datasheet!H18/Datasheet!H$17</f>
        <v>0.55048727709657019</v>
      </c>
      <c r="J6" s="50">
        <f>Datasheet!I18/Datasheet!I$17</f>
        <v>0.49051901507632256</v>
      </c>
      <c r="K6" s="50">
        <f>Datasheet!J18/Datasheet!J$17</f>
        <v>0.51627163874307558</v>
      </c>
      <c r="L6" s="50">
        <f>Datasheet!K18/Datasheet!K$17</f>
        <v>0.48173987186210249</v>
      </c>
    </row>
    <row r="7" spans="2:12" x14ac:dyDescent="0.3">
      <c r="B7" s="89" t="str">
        <f>Datasheet!A19</f>
        <v>Change in Inventory</v>
      </c>
      <c r="C7" s="50">
        <f>Datasheet!B19/Datasheet!B$17</f>
        <v>3.5094964211236368E-2</v>
      </c>
      <c r="D7" s="50">
        <f>Datasheet!C19/Datasheet!C$17</f>
        <v>-8.4477742346749252E-3</v>
      </c>
      <c r="E7" s="50">
        <f>Datasheet!D19/Datasheet!D$17</f>
        <v>1.5242100755036478E-2</v>
      </c>
      <c r="F7" s="50">
        <f>Datasheet!E19/Datasheet!E$17</f>
        <v>1.1832519017873709E-2</v>
      </c>
      <c r="G7" s="50">
        <f>Datasheet!F19/Datasheet!F$17</f>
        <v>4.2578590775298802E-3</v>
      </c>
      <c r="H7" s="50">
        <f>Datasheet!G19/Datasheet!G$17</f>
        <v>4.5529612443164016E-2</v>
      </c>
      <c r="I7" s="50">
        <f>Datasheet!H19/Datasheet!H$17</f>
        <v>8.9806512820616927E-3</v>
      </c>
      <c r="J7" s="50">
        <f>Datasheet!I19/Datasheet!I$17</f>
        <v>-1.0249408855906214E-2</v>
      </c>
      <c r="K7" s="50">
        <f>Datasheet!J19/Datasheet!J$17</f>
        <v>6.0461952915180431E-3</v>
      </c>
      <c r="L7" s="50">
        <f>Datasheet!K19/Datasheet!K$17</f>
        <v>-1.696514736869912E-2</v>
      </c>
    </row>
    <row r="8" spans="2:12" x14ac:dyDescent="0.3">
      <c r="B8" s="89" t="str">
        <f>Datasheet!A20</f>
        <v>Power and Fuel</v>
      </c>
      <c r="C8" s="50">
        <f>Datasheet!B20/Datasheet!B$17</f>
        <v>7.0389105290867941E-3</v>
      </c>
      <c r="D8" s="50">
        <f>Datasheet!C20/Datasheet!C$17</f>
        <v>6.5558959972183504E-3</v>
      </c>
      <c r="E8" s="50">
        <f>Datasheet!D20/Datasheet!D$17</f>
        <v>6.2177334560629266E-3</v>
      </c>
      <c r="F8" s="50">
        <f>Datasheet!E20/Datasheet!E$17</f>
        <v>4.8383944585317588E-3</v>
      </c>
      <c r="G8" s="50">
        <f>Datasheet!F20/Datasheet!F$17</f>
        <v>3.9631019320870327E-3</v>
      </c>
      <c r="H8" s="50">
        <f>Datasheet!G20/Datasheet!G$17</f>
        <v>4.0283451449558234E-3</v>
      </c>
      <c r="I8" s="50">
        <f>Datasheet!H20/Datasheet!H$17</f>
        <v>4.0097319142359837E-3</v>
      </c>
      <c r="J8" s="50">
        <f>Datasheet!I20/Datasheet!I$17</f>
        <v>3.7540784223460775E-3</v>
      </c>
      <c r="K8" s="50">
        <f>Datasheet!J20/Datasheet!J$17</f>
        <v>4.3821643727500045E-3</v>
      </c>
      <c r="L8" s="50">
        <f>Datasheet!K20/Datasheet!K$17</f>
        <v>4.6959914612205531E-3</v>
      </c>
    </row>
    <row r="9" spans="2:12" x14ac:dyDescent="0.3">
      <c r="B9" s="89" t="str">
        <f>Datasheet!A21</f>
        <v>Other Mfr. Exp</v>
      </c>
      <c r="C9" s="50">
        <f>Datasheet!B21/Datasheet!B$17</f>
        <v>0.11039377930804628</v>
      </c>
      <c r="D9" s="50">
        <f>Datasheet!C21/Datasheet!C$17</f>
        <v>0.10054830589822611</v>
      </c>
      <c r="E9" s="50">
        <f>Datasheet!D21/Datasheet!D$17</f>
        <v>9.679508402490003E-2</v>
      </c>
      <c r="F9" s="50">
        <f>Datasheet!E21/Datasheet!E$17</f>
        <v>9.6288947986888487E-2</v>
      </c>
      <c r="G9" s="50">
        <f>Datasheet!F21/Datasheet!F$17</f>
        <v>9.5257679920452407E-2</v>
      </c>
      <c r="H9" s="50">
        <f>Datasheet!G21/Datasheet!G$17</f>
        <v>9.8980182315004703E-2</v>
      </c>
      <c r="I9" s="50">
        <f>Datasheet!H21/Datasheet!H$17</f>
        <v>8.455550081925646E-2</v>
      </c>
      <c r="J9" s="50">
        <f>Datasheet!I21/Datasheet!I$17</f>
        <v>7.796030565664254E-2</v>
      </c>
      <c r="K9" s="50">
        <f>Datasheet!J21/Datasheet!J$17</f>
        <v>7.9261196226466282E-2</v>
      </c>
      <c r="L9" s="50">
        <f>Datasheet!K21/Datasheet!K$17</f>
        <v>7.7763763807648142E-2</v>
      </c>
    </row>
    <row r="10" spans="2:12" x14ac:dyDescent="0.3">
      <c r="B10" s="89" t="str">
        <f>Datasheet!A22</f>
        <v>Employee Cost</v>
      </c>
      <c r="C10" s="50">
        <f>Datasheet!B22/Datasheet!B$17</f>
        <v>6.9040677891832367E-2</v>
      </c>
      <c r="D10" s="50">
        <f>Datasheet!C22/Datasheet!C$17</f>
        <v>6.6681724028280112E-2</v>
      </c>
      <c r="E10" s="50">
        <f>Datasheet!D22/Datasheet!D$17</f>
        <v>6.4588440930492666E-2</v>
      </c>
      <c r="F10" s="50">
        <f>Datasheet!E22/Datasheet!E$17</f>
        <v>6.7846867462428101E-2</v>
      </c>
      <c r="G10" s="50">
        <f>Datasheet!F22/Datasheet!F$17</f>
        <v>7.1276422790438249E-2</v>
      </c>
      <c r="H10" s="50">
        <f>Datasheet!G22/Datasheet!G$17</f>
        <v>6.1667734202756716E-2</v>
      </c>
      <c r="I10" s="50">
        <f>Datasheet!H22/Datasheet!H$17</f>
        <v>5.9045904747048232E-2</v>
      </c>
      <c r="J10" s="50">
        <f>Datasheet!I22/Datasheet!I$17</f>
        <v>6.5782159774141119E-2</v>
      </c>
      <c r="K10" s="50">
        <f>Datasheet!J22/Datasheet!J$17</f>
        <v>7.6853925691375058E-2</v>
      </c>
      <c r="L10" s="50">
        <f>Datasheet!K22/Datasheet!K$17</f>
        <v>7.89615086076315E-2</v>
      </c>
    </row>
    <row r="11" spans="2:12" x14ac:dyDescent="0.3">
      <c r="B11" s="89" t="s">
        <v>262</v>
      </c>
      <c r="C11" s="50">
        <f>HistoricalFS!C15/HistoricalFS!C6</f>
        <v>0.15506383950593511</v>
      </c>
      <c r="D11" s="50">
        <f>HistoricalFS!D15/HistoricalFS!D6</f>
        <v>0.14421604143944414</v>
      </c>
      <c r="E11" s="50">
        <f>HistoricalFS!E15/HistoricalFS!E6</f>
        <v>0.13354275672773522</v>
      </c>
      <c r="F11" s="50">
        <f>HistoricalFS!F15/HistoricalFS!F6</f>
        <v>0.14306190859051271</v>
      </c>
      <c r="G11" s="50">
        <f>HistoricalFS!G15/HistoricalFS!G6</f>
        <v>0.12997500551518251</v>
      </c>
      <c r="H11" s="50">
        <f>HistoricalFS!H15/HistoricalFS!H6</f>
        <v>0.1273861493377611</v>
      </c>
      <c r="I11" s="50">
        <f>HistoricalFS!I15/HistoricalFS!I6</f>
        <v>0.12937757095897515</v>
      </c>
      <c r="J11" s="50">
        <f>HistoricalFS!J15/HistoricalFS!J6</f>
        <v>0.1380419008681007</v>
      </c>
      <c r="K11" s="50">
        <f>HistoricalFS!K15/HistoricalFS!K6</f>
        <v>0.15213230137068723</v>
      </c>
      <c r="L11" s="50">
        <f>HistoricalFS!L15/HistoricalFS!L6</f>
        <v>0.15159200012140442</v>
      </c>
    </row>
    <row r="12" spans="2:12" x14ac:dyDescent="0.3">
      <c r="B12" s="89" t="str">
        <f>Datasheet!A25</f>
        <v>Other Income</v>
      </c>
      <c r="C12" s="50">
        <f>Datasheet!B25/Datasheet!B$17</f>
        <v>2.2433954610247383E-2</v>
      </c>
      <c r="D12" s="50">
        <f>Datasheet!C25/Datasheet!C$17</f>
        <v>1.9995185606747286E-2</v>
      </c>
      <c r="E12" s="50">
        <f>Datasheet!D25/Datasheet!D$17</f>
        <v>1.422911383654892E-2</v>
      </c>
      <c r="F12" s="50">
        <f>Datasheet!E25/Datasheet!E$17</f>
        <v>1.7322035994804873E-2</v>
      </c>
      <c r="G12" s="50">
        <f>Datasheet!F25/Datasheet!F$17</f>
        <v>1.5274407388456295E-2</v>
      </c>
      <c r="H12" s="50">
        <f>Datasheet!G25/Datasheet!G$17</f>
        <v>1.0167250375241226E-2</v>
      </c>
      <c r="I12" s="50">
        <f>Datasheet!H25/Datasheet!H$17</f>
        <v>1.2510224395952401E-2</v>
      </c>
      <c r="J12" s="50">
        <f>Datasheet!I25/Datasheet!I$17</f>
        <v>2.3129067329149988E-2</v>
      </c>
      <c r="K12" s="50">
        <f>Datasheet!J25/Datasheet!J$17</f>
        <v>1.0329261048758288E-2</v>
      </c>
      <c r="L12" s="50">
        <f>Datasheet!K25/Datasheet!K$17</f>
        <v>2.0458054482493871E-2</v>
      </c>
    </row>
    <row r="13" spans="2:12" x14ac:dyDescent="0.3">
      <c r="B13" s="89" t="str">
        <f>Datasheet!A26</f>
        <v>Depreciation</v>
      </c>
      <c r="C13" s="50">
        <f>Datasheet!B26/Datasheet!B$17</f>
        <v>2.2227474590011016E-2</v>
      </c>
      <c r="D13" s="50">
        <f>Datasheet!C26/Datasheet!C$17</f>
        <v>2.1425238713665449E-2</v>
      </c>
      <c r="E13" s="50">
        <f>Datasheet!D26/Datasheet!D$17</f>
        <v>3.2335540352378074E-2</v>
      </c>
      <c r="F13" s="50">
        <f>Datasheet!E26/Datasheet!E$17</f>
        <v>3.8617106809326486E-2</v>
      </c>
      <c r="G13" s="50">
        <f>Datasheet!F26/Datasheet!F$17</f>
        <v>3.6442576011650275E-2</v>
      </c>
      <c r="H13" s="50">
        <f>Datasheet!G26/Datasheet!G$17</f>
        <v>2.8052374328551871E-2</v>
      </c>
      <c r="I13" s="50">
        <f>Datasheet!H26/Datasheet!H$17</f>
        <v>2.4878372818372688E-2</v>
      </c>
      <c r="J13" s="50">
        <f>Datasheet!I26/Datasheet!I$17</f>
        <v>2.4031736542297968E-2</v>
      </c>
      <c r="K13" s="50">
        <f>Datasheet!J26/Datasheet!J$17</f>
        <v>3.0270497929251843E-2</v>
      </c>
      <c r="L13" s="50">
        <f>Datasheet!K26/Datasheet!K$17</f>
        <v>3.4534225656019608E-2</v>
      </c>
    </row>
    <row r="14" spans="2:12" x14ac:dyDescent="0.3">
      <c r="B14" s="89" t="str">
        <f>Datasheet!A27</f>
        <v>Interest</v>
      </c>
      <c r="C14" s="50">
        <f>Datasheet!B27/Datasheet!B$17</f>
        <v>2.4784241657310885E-3</v>
      </c>
      <c r="D14" s="50">
        <f>Datasheet!C27/Datasheet!C$17</f>
        <v>2.4648504714836358E-3</v>
      </c>
      <c r="E14" s="50">
        <f>Datasheet!D27/Datasheet!D$17</f>
        <v>5.7416451967840128E-3</v>
      </c>
      <c r="F14" s="50">
        <f>Datasheet!E27/Datasheet!E$17</f>
        <v>5.0630218319005502E-3</v>
      </c>
      <c r="G14" s="50">
        <f>Datasheet!F27/Datasheet!F$17</f>
        <v>4.2200933182700148E-3</v>
      </c>
      <c r="H14" s="50">
        <f>Datasheet!G27/Datasheet!G$17</f>
        <v>3.2785499469439143E-3</v>
      </c>
      <c r="I14" s="50">
        <f>Datasheet!H27/Datasheet!H$17</f>
        <v>4.1883417095335005E-3</v>
      </c>
      <c r="J14" s="50">
        <f>Datasheet!I27/Datasheet!I$17</f>
        <v>5.7802947085384216E-3</v>
      </c>
      <c r="K14" s="50">
        <f>Datasheet!J27/Datasheet!J$17</f>
        <v>6.6956451467337858E-3</v>
      </c>
      <c r="L14" s="50">
        <f>Datasheet!K27/Datasheet!K$17</f>
        <v>5.4915840301442741E-3</v>
      </c>
    </row>
    <row r="15" spans="2:12" x14ac:dyDescent="0.3">
      <c r="B15" s="89" t="str">
        <f>Datasheet!A28</f>
        <v>Profit before tax</v>
      </c>
      <c r="C15" s="50">
        <f>Datasheet!B28/Datasheet!B$17</f>
        <v>0.19649063636345529</v>
      </c>
      <c r="D15" s="50">
        <f>Datasheet!C28/Datasheet!C$17</f>
        <v>0.18654169056527517</v>
      </c>
      <c r="E15" s="50">
        <f>Datasheet!D28/Datasheet!D$17</f>
        <v>0.17183355829716326</v>
      </c>
      <c r="F15" s="50">
        <f>Datasheet!E28/Datasheet!E$17</f>
        <v>0.17955544560578884</v>
      </c>
      <c r="G15" s="50">
        <f>Datasheet!F28/Datasheet!F$17</f>
        <v>0.19824029984170621</v>
      </c>
      <c r="H15" s="50">
        <f>Datasheet!G28/Datasheet!G$17</f>
        <v>0.14390157408883733</v>
      </c>
      <c r="I15" s="50">
        <f>Datasheet!H28/Datasheet!H$17</f>
        <v>0.16494817561402192</v>
      </c>
      <c r="J15" s="50">
        <f>Datasheet!I28/Datasheet!I$17</f>
        <v>0.20701016742485434</v>
      </c>
      <c r="K15" s="50">
        <f>Datasheet!J28/Datasheet!J$17</f>
        <v>0.15050808685993647</v>
      </c>
      <c r="L15" s="50">
        <f>Datasheet!K28/Datasheet!K$17</f>
        <v>0.16871396156762367</v>
      </c>
    </row>
    <row r="16" spans="2:12" x14ac:dyDescent="0.3">
      <c r="B16" s="89" t="str">
        <f>Datasheet!A29</f>
        <v>Tax</v>
      </c>
      <c r="C16" s="50">
        <f>Datasheet!B29/Datasheet!B$17</f>
        <v>6.2627182729506528E-2</v>
      </c>
      <c r="D16" s="50">
        <f>Datasheet!C29/Datasheet!C$17</f>
        <v>6.1871491362324706E-2</v>
      </c>
      <c r="E16" s="50">
        <f>Datasheet!D29/Datasheet!D$17</f>
        <v>5.7071339954563712E-2</v>
      </c>
      <c r="F16" s="50">
        <f>Datasheet!E29/Datasheet!E$17</f>
        <v>4.2295751128703075E-2</v>
      </c>
      <c r="G16" s="50">
        <f>Datasheet!F29/Datasheet!F$17</f>
        <v>5.05508504434483E-2</v>
      </c>
      <c r="H16" s="50">
        <f>Datasheet!G29/Datasheet!G$17</f>
        <v>3.7899020249281136E-2</v>
      </c>
      <c r="I16" s="50">
        <f>Datasheet!H29/Datasheet!H$17</f>
        <v>4.3304176830656176E-2</v>
      </c>
      <c r="J16" s="50">
        <f>Datasheet!I29/Datasheet!I$17</f>
        <v>5.0432275439198995E-2</v>
      </c>
      <c r="K16" s="50">
        <f>Datasheet!J29/Datasheet!J$17</f>
        <v>4.1095252055558924E-2</v>
      </c>
      <c r="L16" s="50">
        <f>Datasheet!K29/Datasheet!K$17</f>
        <v>4.5210510252774172E-2</v>
      </c>
    </row>
    <row r="17" spans="2:12" x14ac:dyDescent="0.3">
      <c r="B17" s="89" t="str">
        <f>Datasheet!A30</f>
        <v>Net profit</v>
      </c>
      <c r="C17" s="50">
        <f>Datasheet!B30/Datasheet!B$17</f>
        <v>0.12876319795724203</v>
      </c>
      <c r="D17" s="50">
        <f>Datasheet!C30/Datasheet!C$17</f>
        <v>0.12118778808348515</v>
      </c>
      <c r="E17" s="50">
        <f>Datasheet!D30/Datasheet!D$17</f>
        <v>0.11205329693718286</v>
      </c>
      <c r="F17" s="50">
        <f>Datasheet!E30/Datasheet!E$17</f>
        <v>0.13384476467313997</v>
      </c>
      <c r="G17" s="50">
        <f>Datasheet!F30/Datasheet!F$17</f>
        <v>0.14458252486207437</v>
      </c>
      <c r="H17" s="50">
        <f>Datasheet!G30/Datasheet!G$17</f>
        <v>0.10413871829692715</v>
      </c>
      <c r="I17" s="50">
        <f>Datasheet!H30/Datasheet!H$17</f>
        <v>0.11906691459407301</v>
      </c>
      <c r="J17" s="50">
        <f>Datasheet!I30/Datasheet!I$17</f>
        <v>0.15383213226301479</v>
      </c>
      <c r="K17" s="50">
        <f>Datasheet!J30/Datasheet!J$17</f>
        <v>0.10815994516543274</v>
      </c>
      <c r="L17" s="50">
        <f>Datasheet!K30/Datasheet!K$17</f>
        <v>0.12155479752717127</v>
      </c>
    </row>
    <row r="18" spans="2:12" x14ac:dyDescent="0.3">
      <c r="B18" s="89" t="str">
        <f>Datasheet!A31</f>
        <v>Dividend Amount</v>
      </c>
      <c r="C18" s="50">
        <f>Datasheet!B31/Datasheet!B$17</f>
        <v>6.559425414570054E-2</v>
      </c>
      <c r="D18" s="50">
        <f>Datasheet!C31/Datasheet!C$17</f>
        <v>4.9600137893732674E-2</v>
      </c>
      <c r="E18" s="50">
        <f>Datasheet!D31/Datasheet!D$17</f>
        <v>5.2346839652330827E-2</v>
      </c>
      <c r="F18" s="50">
        <f>Datasheet!E31/Datasheet!E$17</f>
        <v>5.6950460758241075E-2</v>
      </c>
      <c r="G18" s="50">
        <f>Datasheet!F31/Datasheet!F$17</f>
        <v>7.8855365892637475E-2</v>
      </c>
      <c r="H18" s="50">
        <f>Datasheet!G31/Datasheet!G$17</f>
        <v>6.3119904004222488E-2</v>
      </c>
      <c r="I18" s="50">
        <f>Datasheet!H31/Datasheet!H$17</f>
        <v>7.1338086016273797E-2</v>
      </c>
      <c r="J18" s="50">
        <f>Datasheet!I31/Datasheet!I$17</f>
        <v>8.998913359814259E-2</v>
      </c>
      <c r="K18" s="50">
        <f>Datasheet!J31/Datasheet!J$17</f>
        <v>7.0160050162775378E-2</v>
      </c>
      <c r="L18" s="50">
        <f>Datasheet!K31/Datasheet!K$17</f>
        <v>7.4129780229847855E-2</v>
      </c>
    </row>
    <row r="19" spans="2:12" x14ac:dyDescent="0.3">
      <c r="B19" s="81" t="s">
        <v>3</v>
      </c>
      <c r="C19" s="57">
        <f>C5-SUM(C6,C7,C8,C9,C10,C11)</f>
        <v>0.12857265208647739</v>
      </c>
      <c r="D19" s="57">
        <f t="shared" ref="D19:L19" si="0">D5-SUM(D6,D7,D8,D9,D10,D11)</f>
        <v>0.20733214261302679</v>
      </c>
      <c r="E19" s="57">
        <f t="shared" si="0"/>
        <v>0.16519742849970354</v>
      </c>
      <c r="F19" s="57">
        <f t="shared" si="0"/>
        <v>0.18224850021646366</v>
      </c>
      <c r="G19" s="57">
        <f t="shared" si="0"/>
        <v>0.21511284362811056</v>
      </c>
      <c r="H19" s="57">
        <f t="shared" si="0"/>
        <v>7.4006023102763718E-2</v>
      </c>
      <c r="I19" s="57">
        <f t="shared" si="0"/>
        <v>0.16354336318185225</v>
      </c>
      <c r="J19" s="57">
        <f t="shared" si="0"/>
        <v>0.23419194905835305</v>
      </c>
      <c r="K19" s="57">
        <f t="shared" si="0"/>
        <v>0.16505257830412778</v>
      </c>
      <c r="L19" s="57">
        <f t="shared" si="0"/>
        <v>0.22221201150869208</v>
      </c>
    </row>
    <row r="21" spans="2:12" x14ac:dyDescent="0.3">
      <c r="B21" s="279" t="str">
        <f>"Common Size Balance Sheet"&amp;" - "&amp;Datasheet!$B$1</f>
        <v>Common Size Balance Sheet - ASIAN PAINTS LTD</v>
      </c>
      <c r="C21" s="279"/>
      <c r="D21" s="279"/>
      <c r="E21" s="279"/>
      <c r="F21" s="279"/>
      <c r="G21" s="279"/>
      <c r="H21" s="279"/>
      <c r="I21" s="279"/>
      <c r="J21" s="279"/>
      <c r="K21" s="279"/>
      <c r="L21" s="279"/>
    </row>
    <row r="22" spans="2:12" x14ac:dyDescent="0.3">
      <c r="B22" s="9" t="s">
        <v>9</v>
      </c>
      <c r="C22" s="10">
        <v>42825</v>
      </c>
      <c r="D22" s="10">
        <v>43190</v>
      </c>
      <c r="E22" s="10">
        <v>43555</v>
      </c>
      <c r="F22" s="10">
        <v>43921</v>
      </c>
      <c r="G22" s="10">
        <v>44286</v>
      </c>
      <c r="H22" s="10">
        <v>44651</v>
      </c>
      <c r="I22" s="10">
        <v>45016</v>
      </c>
      <c r="J22" s="10">
        <v>45382</v>
      </c>
      <c r="K22" s="10">
        <v>45747</v>
      </c>
      <c r="L22" s="10">
        <v>46112</v>
      </c>
    </row>
    <row r="24" spans="2:12" x14ac:dyDescent="0.3">
      <c r="B24" s="4" t="s">
        <v>76</v>
      </c>
      <c r="C24" s="88">
        <f>Datasheet!B61/Datasheet!B$61</f>
        <v>1</v>
      </c>
      <c r="D24" s="88">
        <f>Datasheet!C61/Datasheet!C$61</f>
        <v>1</v>
      </c>
      <c r="E24" s="88">
        <f>Datasheet!D61/Datasheet!D$61</f>
        <v>1</v>
      </c>
      <c r="F24" s="88">
        <f>Datasheet!E61/Datasheet!E$61</f>
        <v>1</v>
      </c>
      <c r="G24" s="88">
        <f>Datasheet!F61/Datasheet!F$61</f>
        <v>1</v>
      </c>
      <c r="H24" s="88">
        <f>Datasheet!G61/Datasheet!G$61</f>
        <v>1</v>
      </c>
      <c r="I24" s="88">
        <f>Datasheet!H61/Datasheet!H$61</f>
        <v>1</v>
      </c>
      <c r="J24" s="88">
        <f>Datasheet!I61/Datasheet!I$61</f>
        <v>1</v>
      </c>
      <c r="K24" s="88">
        <f>Datasheet!J61/Datasheet!J$61</f>
        <v>1</v>
      </c>
      <c r="L24" s="88">
        <f>Datasheet!K61/Datasheet!K$61</f>
        <v>1</v>
      </c>
    </row>
    <row r="25" spans="2:12" x14ac:dyDescent="0.3">
      <c r="B25" s="5" t="s">
        <v>17</v>
      </c>
      <c r="C25" s="50">
        <f>Datasheet!B57/Datasheet!B$61</f>
        <v>7.732247551226543E-3</v>
      </c>
      <c r="D25" s="50">
        <f>Datasheet!C57/Datasheet!C$61</f>
        <v>6.969167681429406E-3</v>
      </c>
      <c r="E25" s="50">
        <f>Datasheet!D57/Datasheet!D$61</f>
        <v>5.9031906277617358E-3</v>
      </c>
      <c r="F25" s="50">
        <f>Datasheet!E57/Datasheet!E$61</f>
        <v>5.9437463324073601E-3</v>
      </c>
      <c r="G25" s="50">
        <f>Datasheet!F57/Datasheet!F$61</f>
        <v>4.712276974985434E-3</v>
      </c>
      <c r="H25" s="50">
        <f>Datasheet!G57/Datasheet!G$61</f>
        <v>4.1779860382439044E-3</v>
      </c>
      <c r="I25" s="50">
        <f>Datasheet!H57/Datasheet!H$61</f>
        <v>3.7208104322338864E-3</v>
      </c>
      <c r="J25" s="50">
        <f>Datasheet!I57/Datasheet!I$61</f>
        <v>3.2079441432444717E-3</v>
      </c>
      <c r="K25" s="50">
        <f>Datasheet!J57/Datasheet!J$61</f>
        <v>3.1599146770328033E-3</v>
      </c>
      <c r="L25" s="50">
        <f>Datasheet!K57/Datasheet!K$61</f>
        <v>2.7787796487416258E-3</v>
      </c>
    </row>
    <row r="26" spans="2:12" x14ac:dyDescent="0.3">
      <c r="B26" s="5" t="s">
        <v>18</v>
      </c>
      <c r="C26" s="50">
        <f>Datasheet!B58/Datasheet!B$61</f>
        <v>0.60522813435344402</v>
      </c>
      <c r="D26" s="50">
        <f>Datasheet!C58/Datasheet!C$61</f>
        <v>0.60408486807115636</v>
      </c>
      <c r="E26" s="50">
        <f>Datasheet!D58/Datasheet!D$61</f>
        <v>0.57694149243884485</v>
      </c>
      <c r="F26" s="50">
        <f>Datasheet!E58/Datasheet!E$61</f>
        <v>0.62177832775745645</v>
      </c>
      <c r="G26" s="50">
        <f>Datasheet!F58/Datasheet!F$61</f>
        <v>0.62442435252862394</v>
      </c>
      <c r="H26" s="50">
        <f>Datasheet!G58/Datasheet!G$61</f>
        <v>0.59741193104232293</v>
      </c>
      <c r="I26" s="50">
        <f>Datasheet!H58/Datasheet!H$61</f>
        <v>0.61663006757739625</v>
      </c>
      <c r="J26" s="50">
        <f>Datasheet!I58/Datasheet!I$61</f>
        <v>0.62314047430885566</v>
      </c>
      <c r="K26" s="50">
        <f>Datasheet!J58/Datasheet!J$61</f>
        <v>0.63593249932054585</v>
      </c>
      <c r="L26" s="50">
        <f>Datasheet!K58/Datasheet!K$61</f>
        <v>0.61635111352525795</v>
      </c>
    </row>
    <row r="27" spans="2:12" x14ac:dyDescent="0.3">
      <c r="B27" s="5" t="s">
        <v>19</v>
      </c>
      <c r="C27" s="50">
        <f>Datasheet!B59/Datasheet!B$61</f>
        <v>4.5169803928839465E-2</v>
      </c>
      <c r="D27" s="50">
        <f>Datasheet!C59/Datasheet!C$61</f>
        <v>3.8756913222528021E-2</v>
      </c>
      <c r="E27" s="50">
        <f>Datasheet!D59/Datasheet!D$61</f>
        <v>8.1211951130049892E-2</v>
      </c>
      <c r="F27" s="50">
        <f>Datasheet!E59/Datasheet!E$61</f>
        <v>6.9308593336088742E-2</v>
      </c>
      <c r="G27" s="50">
        <f>Datasheet!F59/Datasheet!F$61</f>
        <v>5.3701878720768106E-2</v>
      </c>
      <c r="H27" s="50">
        <f>Datasheet!G59/Datasheet!G$61</f>
        <v>6.9119708969646448E-2</v>
      </c>
      <c r="I27" s="50">
        <f>Datasheet!H59/Datasheet!H$61</f>
        <v>7.4967813360548932E-2</v>
      </c>
      <c r="J27" s="50">
        <f>Datasheet!I59/Datasheet!I$61</f>
        <v>8.2753052847802919E-2</v>
      </c>
      <c r="K27" s="50">
        <f>Datasheet!J59/Datasheet!J$61</f>
        <v>7.5449551560273762E-2</v>
      </c>
      <c r="L27" s="50">
        <f>Datasheet!K59/Datasheet!K$61</f>
        <v>0.1138201701973565</v>
      </c>
    </row>
    <row r="28" spans="2:12" x14ac:dyDescent="0.3">
      <c r="B28" s="5" t="s">
        <v>20</v>
      </c>
      <c r="C28" s="50">
        <f>Datasheet!B60/Datasheet!B$61</f>
        <v>0.34186981416648998</v>
      </c>
      <c r="D28" s="50">
        <f>Datasheet!C60/Datasheet!C$61</f>
        <v>0.35018905102488612</v>
      </c>
      <c r="E28" s="50">
        <f>Datasheet!D60/Datasheet!D$61</f>
        <v>0.3359433658033435</v>
      </c>
      <c r="F28" s="50">
        <f>Datasheet!E60/Datasheet!E$61</f>
        <v>0.30296933257404746</v>
      </c>
      <c r="G28" s="50">
        <f>Datasheet!F60/Datasheet!F$61</f>
        <v>0.31716149177562253</v>
      </c>
      <c r="H28" s="50">
        <f>Datasheet!G60/Datasheet!G$61</f>
        <v>0.32929037394978661</v>
      </c>
      <c r="I28" s="50">
        <f>Datasheet!H60/Datasheet!H$61</f>
        <v>0.30468130862982085</v>
      </c>
      <c r="J28" s="50">
        <f>Datasheet!I60/Datasheet!I$61</f>
        <v>0.29089852870009703</v>
      </c>
      <c r="K28" s="50">
        <f>Datasheet!J60/Datasheet!J$61</f>
        <v>0.28545803444214757</v>
      </c>
      <c r="L28" s="50">
        <f>Datasheet!K60/Datasheet!K$61</f>
        <v>0.26704993662864385</v>
      </c>
    </row>
    <row r="30" spans="2:12" x14ac:dyDescent="0.3">
      <c r="B30" s="4" t="s">
        <v>80</v>
      </c>
      <c r="C30" s="90">
        <f>Datasheet!B66/Datasheet!B66</f>
        <v>1</v>
      </c>
      <c r="D30" s="90">
        <f>Datasheet!C66/Datasheet!C66</f>
        <v>1</v>
      </c>
      <c r="E30" s="90">
        <f>Datasheet!D66/Datasheet!D66</f>
        <v>1</v>
      </c>
      <c r="F30" s="90">
        <f>Datasheet!E66/Datasheet!E66</f>
        <v>1</v>
      </c>
      <c r="G30" s="90">
        <f>Datasheet!F66/Datasheet!F66</f>
        <v>1</v>
      </c>
      <c r="H30" s="90">
        <f>Datasheet!G66/Datasheet!G66</f>
        <v>1</v>
      </c>
      <c r="I30" s="90">
        <f>Datasheet!H66/Datasheet!H66</f>
        <v>1</v>
      </c>
      <c r="J30" s="90">
        <f>Datasheet!I66/Datasheet!I66</f>
        <v>1</v>
      </c>
      <c r="K30" s="90">
        <f>Datasheet!J66/Datasheet!J66</f>
        <v>1</v>
      </c>
      <c r="L30" s="90">
        <f>Datasheet!K66/Datasheet!K66</f>
        <v>1</v>
      </c>
    </row>
    <row r="31" spans="2:12" x14ac:dyDescent="0.3">
      <c r="B31" s="5" t="s">
        <v>198</v>
      </c>
      <c r="C31" s="50">
        <f>Datasheet!B62/Datasheet!$B$66</f>
        <v>0.26631917769901142</v>
      </c>
      <c r="D31" s="50">
        <f>Datasheet!C62/Datasheet!$B$66</f>
        <v>0.30086117181598987</v>
      </c>
      <c r="E31" s="50">
        <f>Datasheet!D62/Datasheet!$B$66</f>
        <v>0.52369693652414839</v>
      </c>
      <c r="F31" s="50">
        <f>Datasheet!E62/Datasheet!$B$66</f>
        <v>0.50561982525056048</v>
      </c>
      <c r="G31" s="50">
        <f>Datasheet!F62/Datasheet!$B$66</f>
        <v>0.47226362514399217</v>
      </c>
      <c r="H31" s="50">
        <f>Datasheet!G62/Datasheet!$B$66</f>
        <v>0.44489927199825235</v>
      </c>
      <c r="I31" s="50">
        <f>Datasheet!H62/Datasheet!$B$66</f>
        <v>0.46516498336583317</v>
      </c>
      <c r="J31" s="50">
        <f>Datasheet!I62/Datasheet!$B$66</f>
        <v>0.57609919719085312</v>
      </c>
      <c r="K31" s="50">
        <f>Datasheet!J62/Datasheet!$B$66</f>
        <v>0.74324536746313441</v>
      </c>
      <c r="L31" s="50">
        <f>Datasheet!K62/Datasheet!$B$66</f>
        <v>0.77711667455315081</v>
      </c>
    </row>
    <row r="32" spans="2:12" x14ac:dyDescent="0.3">
      <c r="B32" s="5" t="s">
        <v>22</v>
      </c>
      <c r="C32" s="50">
        <f>Datasheet!B63/Datasheet!$B$66</f>
        <v>2.0760665495651417E-2</v>
      </c>
      <c r="D32" s="50">
        <f>Datasheet!C63/Datasheet!$B$66</f>
        <v>0.11326791447773069</v>
      </c>
      <c r="E32" s="50">
        <f>Datasheet!D63/Datasheet!$B$66</f>
        <v>1.690179674797403E-2</v>
      </c>
      <c r="F32" s="50">
        <f>Datasheet!E63/Datasheet!$B$66</f>
        <v>1.1304945752543896E-2</v>
      </c>
      <c r="G32" s="50">
        <f>Datasheet!F63/Datasheet!$B$66</f>
        <v>1.4750277907875654E-2</v>
      </c>
      <c r="H32" s="50">
        <f>Datasheet!G63/Datasheet!$B$66</f>
        <v>3.437512847445303E-2</v>
      </c>
      <c r="I32" s="50">
        <f>Datasheet!H63/Datasheet!$B$66</f>
        <v>8.2190599257246366E-2</v>
      </c>
      <c r="J32" s="50">
        <f>Datasheet!I63/Datasheet!$B$66</f>
        <v>0.21751944145958263</v>
      </c>
      <c r="K32" s="50">
        <f>Datasheet!J63/Datasheet!$B$66</f>
        <v>0.10112622216991436</v>
      </c>
      <c r="L32" s="50">
        <f>Datasheet!K63/Datasheet!$B$66</f>
        <v>0.14902391660264777</v>
      </c>
    </row>
    <row r="33" spans="2:12" x14ac:dyDescent="0.3">
      <c r="B33" s="5" t="s">
        <v>23</v>
      </c>
      <c r="C33" s="50">
        <f>Datasheet!B64/Datasheet!$B$66</f>
        <v>0.21378068372995493</v>
      </c>
      <c r="D33" s="50">
        <f>Datasheet!C64/Datasheet!$B$66</f>
        <v>0.17256487002617452</v>
      </c>
      <c r="E33" s="50">
        <f>Datasheet!D64/Datasheet!$B$66</f>
        <v>0.20705688506181685</v>
      </c>
      <c r="F33" s="50">
        <f>Datasheet!E64/Datasheet!$B$66</f>
        <v>0.16274236831519709</v>
      </c>
      <c r="G33" s="50">
        <f>Datasheet!F64/Datasheet!$B$66</f>
        <v>0.38184018140794296</v>
      </c>
      <c r="H33" s="50">
        <f>Datasheet!G64/Datasheet!$B$66</f>
        <v>0.26178800969594179</v>
      </c>
      <c r="I33" s="50">
        <f>Datasheet!H64/Datasheet!$B$66</f>
        <v>0.34354250116281976</v>
      </c>
      <c r="J33" s="50">
        <f>Datasheet!I64/Datasheet!$B$66</f>
        <v>0.36983875297355379</v>
      </c>
      <c r="K33" s="50">
        <f>Datasheet!J64/Datasheet!$B$66</f>
        <v>0.38086881377874904</v>
      </c>
      <c r="L33" s="50">
        <f>Datasheet!K64/Datasheet!$B$66</f>
        <v>0.56925689973309557</v>
      </c>
    </row>
    <row r="34" spans="2:12" x14ac:dyDescent="0.3">
      <c r="B34" s="5" t="s">
        <v>24</v>
      </c>
      <c r="C34" s="50">
        <f>Datasheet!B65/Datasheet!$B$66</f>
        <v>0.49913947307538215</v>
      </c>
      <c r="D34" s="50">
        <f>Datasheet!C65/Datasheet!$B$66</f>
        <v>0.52279973140274349</v>
      </c>
      <c r="E34" s="50">
        <f>Datasheet!D65/Datasheet!$B$66</f>
        <v>0.56218647195246496</v>
      </c>
      <c r="F34" s="50">
        <f>Datasheet!E65/Datasheet!$B$66</f>
        <v>0.62123756266530372</v>
      </c>
      <c r="G34" s="50">
        <f>Datasheet!F65/Datasheet!$B$66</f>
        <v>0.77201880825686675</v>
      </c>
      <c r="H34" s="50">
        <f>Datasheet!G65/Datasheet!$B$66</f>
        <v>1.1096492677661527</v>
      </c>
      <c r="I34" s="50">
        <f>Datasheet!H65/Datasheet!$B$66</f>
        <v>1.1872103530860874</v>
      </c>
      <c r="J34" s="50">
        <f>Datasheet!I65/Datasheet!$B$66</f>
        <v>1.2468861823156276</v>
      </c>
      <c r="K34" s="50">
        <f>Datasheet!J65/Datasheet!$B$66</f>
        <v>1.2217394493756242</v>
      </c>
      <c r="L34" s="50">
        <f>Datasheet!K65/Datasheet!$B$66</f>
        <v>1.2872080153548635</v>
      </c>
    </row>
    <row r="35" spans="2:12" x14ac:dyDescent="0.3">
      <c r="B35" s="5" t="s">
        <v>68</v>
      </c>
      <c r="C35" s="50">
        <f>Datasheet!B67/Datasheet!$B$66</f>
        <v>0.11661248235617511</v>
      </c>
      <c r="D35" s="50">
        <f>Datasheet!C67/Datasheet!$B$66</f>
        <v>0.13950854440762295</v>
      </c>
      <c r="E35" s="50">
        <f>Datasheet!D67/Datasheet!$B$66</f>
        <v>0.15375258258841662</v>
      </c>
      <c r="F35" s="50">
        <f>Datasheet!E67/Datasheet!$B$66</f>
        <v>0.14471523612294532</v>
      </c>
      <c r="G35" s="50">
        <f>Datasheet!F67/Datasheet!$B$66</f>
        <v>0.20976462271033333</v>
      </c>
      <c r="H35" s="50">
        <f>Datasheet!G67/Datasheet!$B$66</f>
        <v>0.31208228169016355</v>
      </c>
      <c r="I35" s="50">
        <f>Datasheet!H67/Datasheet!$B$66</f>
        <v>0.37379032485596747</v>
      </c>
      <c r="J35" s="50">
        <f>Datasheet!I67/Datasheet!$B$66</f>
        <v>0.3941132703328204</v>
      </c>
      <c r="K35" s="50">
        <f>Datasheet!J67/Datasheet!$B$66</f>
        <v>0.34772945839604225</v>
      </c>
      <c r="L35" s="50">
        <f>Datasheet!K67/Datasheet!$B$66</f>
        <v>0.35967204049272927</v>
      </c>
    </row>
    <row r="36" spans="2:12" x14ac:dyDescent="0.3">
      <c r="B36" s="5" t="s">
        <v>25</v>
      </c>
      <c r="C36" s="50">
        <f>Datasheet!B68/Datasheet!$B$66</f>
        <v>0.21176136762113276</v>
      </c>
      <c r="D36" s="50">
        <f>Datasheet!C68/Datasheet!$B$66</f>
        <v>0.21429014791389731</v>
      </c>
      <c r="E36" s="50">
        <f>Datasheet!D68/Datasheet!$B$66</f>
        <v>0.25391469215707296</v>
      </c>
      <c r="F36" s="50">
        <f>Datasheet!E68/Datasheet!$B$66</f>
        <v>0.2732574027483658</v>
      </c>
      <c r="G36" s="50">
        <f>Datasheet!F68/Datasheet!$B$66</f>
        <v>0.30621054574738477</v>
      </c>
      <c r="H36" s="50">
        <f>Datasheet!G68/Datasheet!$B$66</f>
        <v>0.49600046432178785</v>
      </c>
      <c r="I36" s="50">
        <f>Datasheet!H68/Datasheet!$B$66</f>
        <v>0.50064851888604689</v>
      </c>
      <c r="J36" s="50">
        <f>Datasheet!I68/Datasheet!$B$66</f>
        <v>0.47749450028576745</v>
      </c>
      <c r="K36" s="50">
        <f>Datasheet!J68/Datasheet!$B$66</f>
        <v>0.54164990620861109</v>
      </c>
      <c r="L36" s="50">
        <f>Datasheet!K68/Datasheet!$B$66</f>
        <v>0.46300701561201396</v>
      </c>
    </row>
    <row r="37" spans="2:12" x14ac:dyDescent="0.3">
      <c r="B37" s="6" t="s">
        <v>69</v>
      </c>
      <c r="C37" s="50">
        <f>Datasheet!B69/Datasheet!$B$66</f>
        <v>6.4586677027921383E-2</v>
      </c>
      <c r="D37" s="50">
        <f>Datasheet!C69/Datasheet!$B$66</f>
        <v>3.2619411713968101E-2</v>
      </c>
      <c r="E37" s="50">
        <f>Datasheet!D69/Datasheet!$B$66</f>
        <v>3.5862409201310098E-2</v>
      </c>
      <c r="F37" s="50">
        <f>Datasheet!E69/Datasheet!$B$66</f>
        <v>6.3105039100569998E-2</v>
      </c>
      <c r="G37" s="50">
        <f>Datasheet!F69/Datasheet!$B$66</f>
        <v>4.9233425687151909E-2</v>
      </c>
      <c r="H37" s="50">
        <f>Datasheet!G69/Datasheet!$B$66</f>
        <v>6.9674869953624249E-2</v>
      </c>
      <c r="I37" s="50">
        <f>Datasheet!H69/Datasheet!$B$66</f>
        <v>6.8021529698456859E-2</v>
      </c>
      <c r="J37" s="50">
        <f>Datasheet!I69/Datasheet!$B$66</f>
        <v>8.7383587030912063E-2</v>
      </c>
      <c r="K37" s="50">
        <f>Datasheet!J69/Datasheet!$B$66</f>
        <v>6.3036519392286619E-2</v>
      </c>
      <c r="L37" s="50">
        <f>Datasheet!K69/Datasheet!$B$66</f>
        <v>8.6550871046715133E-2</v>
      </c>
    </row>
  </sheetData>
  <mergeCells count="2">
    <mergeCell ref="B2:L2"/>
    <mergeCell ref="B21:L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CD2A7-7960-4329-B466-AC88F9FDD642}">
  <dimension ref="A1:K62"/>
  <sheetViews>
    <sheetView showGridLines="0" tabSelected="1" topLeftCell="A41" workbookViewId="0">
      <selection activeCell="N8" sqref="N8"/>
    </sheetView>
  </sheetViews>
  <sheetFormatPr defaultRowHeight="14.4" x14ac:dyDescent="0.3"/>
  <cols>
    <col min="1" max="1" width="1.88671875" customWidth="1"/>
    <col min="7" max="9" width="11.109375" bestFit="1" customWidth="1"/>
    <col min="10" max="10" width="14.21875" bestFit="1" customWidth="1"/>
    <col min="11" max="11" width="11.33203125" bestFit="1" customWidth="1"/>
  </cols>
  <sheetData>
    <row r="1" spans="2:11" x14ac:dyDescent="0.3">
      <c r="B1" s="279" t="str">
        <f>"Intrisinic Growth"&amp;" - "&amp;Datasheet!$B$1</f>
        <v>Intrisinic Growth - ASIAN PAINTS LTD</v>
      </c>
      <c r="C1" s="279"/>
      <c r="D1" s="279"/>
      <c r="E1" s="279"/>
      <c r="F1" s="279"/>
      <c r="G1" s="279"/>
      <c r="H1" s="279"/>
      <c r="I1" s="279"/>
      <c r="J1" s="279"/>
      <c r="K1" s="279"/>
    </row>
    <row r="2" spans="2:11" x14ac:dyDescent="0.3">
      <c r="B2" s="49" t="s">
        <v>975</v>
      </c>
      <c r="C2" s="49"/>
      <c r="D2" s="49"/>
      <c r="E2" s="49"/>
      <c r="F2" s="49"/>
      <c r="G2" s="49">
        <v>2022</v>
      </c>
      <c r="H2" s="49">
        <f>G2+1</f>
        <v>2023</v>
      </c>
      <c r="I2" s="49">
        <f t="shared" ref="I2:K2" si="0">H2+1</f>
        <v>2024</v>
      </c>
      <c r="J2" s="49">
        <f t="shared" si="0"/>
        <v>2025</v>
      </c>
      <c r="K2" s="49">
        <f t="shared" si="0"/>
        <v>2026</v>
      </c>
    </row>
    <row r="4" spans="2:11" x14ac:dyDescent="0.3">
      <c r="B4" s="1" t="s">
        <v>976</v>
      </c>
    </row>
    <row r="5" spans="2:11" x14ac:dyDescent="0.3">
      <c r="B5" s="53" t="s">
        <v>219</v>
      </c>
      <c r="C5" s="53"/>
      <c r="D5" s="53"/>
      <c r="E5" s="53"/>
      <c r="F5" s="53"/>
      <c r="G5" s="246">
        <f>'Raw FS'!J31</f>
        <v>6153</v>
      </c>
      <c r="H5" s="246">
        <f>'Raw FS'!K31</f>
        <v>6211</v>
      </c>
      <c r="I5" s="246">
        <f>'Raw FS'!L31</f>
        <v>5923</v>
      </c>
      <c r="J5" s="246">
        <f>'Raw FS'!M31</f>
        <v>6719</v>
      </c>
      <c r="K5" s="246">
        <f>'Raw FS'!N31</f>
        <v>5744</v>
      </c>
    </row>
    <row r="6" spans="2:11" x14ac:dyDescent="0.3">
      <c r="B6" s="53" t="s">
        <v>977</v>
      </c>
      <c r="C6" s="53"/>
      <c r="D6" s="53"/>
      <c r="E6" s="53"/>
      <c r="F6" s="53"/>
      <c r="G6" s="246">
        <f>'Raw FS'!J32</f>
        <v>3871</v>
      </c>
      <c r="H6" s="246">
        <f>'Raw FS'!K32</f>
        <v>4637</v>
      </c>
      <c r="I6" s="246">
        <f>'Raw FS'!L32</f>
        <v>4889</v>
      </c>
      <c r="J6" s="246">
        <f>'Raw FS'!M32</f>
        <v>4314</v>
      </c>
      <c r="K6" s="246">
        <f>'Raw FS'!N32</f>
        <v>4462</v>
      </c>
    </row>
    <row r="7" spans="2:11" x14ac:dyDescent="0.3">
      <c r="B7" s="53" t="s">
        <v>978</v>
      </c>
      <c r="C7" s="53"/>
      <c r="D7" s="53"/>
      <c r="E7" s="53"/>
      <c r="F7" s="53"/>
      <c r="G7" s="246">
        <f>'Raw FS'!J34</f>
        <v>8</v>
      </c>
      <c r="H7" s="246">
        <f>'Raw FS'!K34</f>
        <v>12</v>
      </c>
      <c r="I7" s="246">
        <f>'Raw FS'!L34</f>
        <v>17</v>
      </c>
      <c r="J7" s="246">
        <f>'Raw FS'!M34</f>
        <v>22</v>
      </c>
      <c r="K7" s="246">
        <f>'Raw FS'!N34</f>
        <v>27</v>
      </c>
    </row>
    <row r="8" spans="2:11" x14ac:dyDescent="0.3">
      <c r="B8" s="53" t="s">
        <v>979</v>
      </c>
      <c r="C8" s="53"/>
      <c r="D8" s="53"/>
      <c r="E8" s="53"/>
      <c r="F8" s="53"/>
      <c r="G8" s="246">
        <f>'Raw FS'!J35</f>
        <v>2869</v>
      </c>
      <c r="H8" s="246">
        <f>'Raw FS'!K35</f>
        <v>3024</v>
      </c>
      <c r="I8" s="246">
        <f>'Raw FS'!L35</f>
        <v>3555</v>
      </c>
      <c r="J8" s="246">
        <f>'Raw FS'!M35</f>
        <v>3319</v>
      </c>
      <c r="K8" s="246">
        <f>'Raw FS'!N35</f>
        <v>4662</v>
      </c>
    </row>
    <row r="9" spans="2:11" x14ac:dyDescent="0.3">
      <c r="B9" s="76" t="s">
        <v>79</v>
      </c>
      <c r="C9" s="53"/>
      <c r="D9" s="53"/>
      <c r="E9" s="53"/>
      <c r="F9" s="53"/>
      <c r="G9" s="247">
        <f>SUM(G5:G8)</f>
        <v>12901</v>
      </c>
      <c r="H9" s="247">
        <f t="shared" ref="H9:K9" si="1">SUM(H5:H8)</f>
        <v>13884</v>
      </c>
      <c r="I9" s="247">
        <f t="shared" si="1"/>
        <v>14384</v>
      </c>
      <c r="J9" s="247">
        <f t="shared" si="1"/>
        <v>14374</v>
      </c>
      <c r="K9" s="247">
        <f t="shared" si="1"/>
        <v>14895</v>
      </c>
    </row>
    <row r="10" spans="2:11" x14ac:dyDescent="0.3">
      <c r="G10" s="248"/>
      <c r="H10" s="248"/>
      <c r="I10" s="248"/>
      <c r="J10" s="248"/>
      <c r="K10" s="248"/>
    </row>
    <row r="11" spans="2:11" x14ac:dyDescent="0.3">
      <c r="B11" s="1" t="s">
        <v>980</v>
      </c>
      <c r="G11" s="248"/>
      <c r="H11" s="248"/>
      <c r="I11" s="248"/>
      <c r="J11" s="248"/>
      <c r="K11" s="248"/>
    </row>
    <row r="12" spans="2:11" x14ac:dyDescent="0.3">
      <c r="B12" s="53" t="s">
        <v>223</v>
      </c>
      <c r="C12" s="53"/>
      <c r="D12" s="53"/>
      <c r="E12" s="53"/>
      <c r="F12" s="53"/>
      <c r="G12" s="246">
        <f>'Raw FS'!J13</f>
        <v>4164</v>
      </c>
      <c r="H12" s="246">
        <f>'Raw FS'!K13</f>
        <v>3635</v>
      </c>
      <c r="I12" s="246">
        <f>'Raw FS'!L13</f>
        <v>3831</v>
      </c>
      <c r="J12" s="246">
        <f>'Raw FS'!M13</f>
        <v>3848</v>
      </c>
      <c r="K12" s="246">
        <f>'Raw FS'!N13</f>
        <v>3863</v>
      </c>
    </row>
    <row r="13" spans="2:11" x14ac:dyDescent="0.3">
      <c r="B13" s="53" t="s">
        <v>981</v>
      </c>
      <c r="C13" s="53"/>
      <c r="D13" s="53"/>
      <c r="E13" s="53"/>
      <c r="F13" s="53"/>
      <c r="G13" s="246">
        <f>'Raw FS'!J14</f>
        <v>76</v>
      </c>
      <c r="H13" s="246">
        <f>'Raw FS'!K14</f>
        <v>108</v>
      </c>
      <c r="I13" s="246">
        <f>'Raw FS'!L14</f>
        <v>154</v>
      </c>
      <c r="J13" s="246">
        <f>'Raw FS'!M14</f>
        <v>174</v>
      </c>
      <c r="K13" s="246">
        <f>'Raw FS'!N14</f>
        <v>107</v>
      </c>
    </row>
    <row r="14" spans="2:11" x14ac:dyDescent="0.3">
      <c r="B14" s="53" t="s">
        <v>982</v>
      </c>
      <c r="C14" s="53"/>
      <c r="D14" s="53"/>
      <c r="E14" s="53"/>
      <c r="F14" s="53"/>
      <c r="G14" s="246">
        <f>'Raw FS'!J15</f>
        <v>2932</v>
      </c>
      <c r="H14" s="246">
        <f>'Raw FS'!K15</f>
        <v>3657</v>
      </c>
      <c r="I14" s="246">
        <f>'Raw FS'!L15</f>
        <v>4017</v>
      </c>
      <c r="J14" s="246">
        <f>'Raw FS'!M15</f>
        <v>3984</v>
      </c>
      <c r="K14" s="246">
        <f>'Raw FS'!N15</f>
        <v>4604</v>
      </c>
    </row>
    <row r="15" spans="2:11" x14ac:dyDescent="0.3">
      <c r="B15" s="76" t="s">
        <v>983</v>
      </c>
      <c r="C15" s="53"/>
      <c r="D15" s="53"/>
      <c r="E15" s="53"/>
      <c r="F15" s="53"/>
      <c r="G15" s="247">
        <f>SUM(G12:G14)</f>
        <v>7172</v>
      </c>
      <c r="H15" s="247">
        <f t="shared" ref="H15:K15" si="2">SUM(H12:H14)</f>
        <v>7400</v>
      </c>
      <c r="I15" s="247">
        <f t="shared" si="2"/>
        <v>8002</v>
      </c>
      <c r="J15" s="247">
        <f t="shared" si="2"/>
        <v>8006</v>
      </c>
      <c r="K15" s="247">
        <f t="shared" si="2"/>
        <v>8574</v>
      </c>
    </row>
    <row r="16" spans="2:11" x14ac:dyDescent="0.3">
      <c r="G16" s="248"/>
      <c r="H16" s="248"/>
      <c r="I16" s="248"/>
      <c r="J16" s="248"/>
      <c r="K16" s="248"/>
    </row>
    <row r="17" spans="1:11" ht="15" thickBot="1" x14ac:dyDescent="0.35">
      <c r="A17" s="1" t="s">
        <v>7</v>
      </c>
      <c r="B17" s="94" t="s">
        <v>984</v>
      </c>
      <c r="C17" s="94"/>
      <c r="D17" s="94"/>
      <c r="E17" s="94"/>
      <c r="F17" s="94"/>
      <c r="G17" s="249">
        <f>G9-G15</f>
        <v>5729</v>
      </c>
      <c r="H17" s="249">
        <f t="shared" ref="H17:K17" si="3">H9-H15</f>
        <v>6484</v>
      </c>
      <c r="I17" s="249">
        <f t="shared" si="3"/>
        <v>6382</v>
      </c>
      <c r="J17" s="249">
        <f t="shared" si="3"/>
        <v>6368</v>
      </c>
      <c r="K17" s="249">
        <f t="shared" si="3"/>
        <v>6321</v>
      </c>
    </row>
    <row r="18" spans="1:11" ht="15" thickTop="1" x14ac:dyDescent="0.3">
      <c r="G18" s="248"/>
      <c r="H18" s="248"/>
      <c r="I18" s="248"/>
      <c r="J18" s="248"/>
      <c r="K18" s="248"/>
    </row>
    <row r="19" spans="1:11" x14ac:dyDescent="0.3">
      <c r="B19" s="1" t="s">
        <v>985</v>
      </c>
      <c r="G19" s="248"/>
      <c r="H19" s="248"/>
      <c r="I19" s="248"/>
      <c r="J19" s="248"/>
      <c r="K19" s="248"/>
    </row>
    <row r="20" spans="1:11" x14ac:dyDescent="0.3">
      <c r="B20" s="259" t="s">
        <v>208</v>
      </c>
      <c r="C20" s="53"/>
      <c r="D20" s="53"/>
      <c r="E20" s="53"/>
      <c r="F20" s="53"/>
      <c r="G20" s="246">
        <f>'Raw FS'!J18</f>
        <v>644</v>
      </c>
      <c r="H20" s="246">
        <f>'Raw FS'!K18</f>
        <v>804</v>
      </c>
      <c r="I20" s="246">
        <f>'Raw FS'!L18</f>
        <v>1126</v>
      </c>
      <c r="J20" s="246">
        <f>'Raw FS'!M18</f>
        <v>1035</v>
      </c>
      <c r="K20" s="246">
        <f>'Raw FS'!N18</f>
        <v>1204</v>
      </c>
    </row>
    <row r="21" spans="1:11" x14ac:dyDescent="0.3">
      <c r="B21" s="259" t="s">
        <v>209</v>
      </c>
      <c r="C21" s="53"/>
      <c r="D21" s="53"/>
      <c r="E21" s="53"/>
      <c r="F21" s="53"/>
      <c r="G21" s="246">
        <f>'Raw FS'!J19</f>
        <v>2325</v>
      </c>
      <c r="H21" s="246">
        <f>'Raw FS'!K19</f>
        <v>2883</v>
      </c>
      <c r="I21" s="246">
        <f>'Raw FS'!L19</f>
        <v>3390</v>
      </c>
      <c r="J21" s="246">
        <f>'Raw FS'!M19</f>
        <v>3771</v>
      </c>
      <c r="K21" s="246">
        <f>'Raw FS'!N19</f>
        <v>4124</v>
      </c>
    </row>
    <row r="22" spans="1:11" x14ac:dyDescent="0.3">
      <c r="B22" s="259" t="s">
        <v>210</v>
      </c>
      <c r="C22" s="53"/>
      <c r="D22" s="53"/>
      <c r="E22" s="53"/>
      <c r="F22" s="53"/>
      <c r="G22" s="246">
        <f>'Raw FS'!J20</f>
        <v>4531</v>
      </c>
      <c r="H22" s="246">
        <f>'Raw FS'!K20</f>
        <v>4825</v>
      </c>
      <c r="I22" s="246">
        <f>'Raw FS'!L20</f>
        <v>5422</v>
      </c>
      <c r="J22" s="246">
        <f>'Raw FS'!M20</f>
        <v>7576</v>
      </c>
      <c r="K22" s="246">
        <f>'Raw FS'!N20</f>
        <v>8210</v>
      </c>
    </row>
    <row r="23" spans="1:11" x14ac:dyDescent="0.3">
      <c r="B23" s="259" t="s">
        <v>211</v>
      </c>
      <c r="C23" s="53"/>
      <c r="D23" s="53"/>
      <c r="E23" s="53"/>
      <c r="F23" s="53"/>
      <c r="G23" s="246">
        <f>'Raw FS'!J21</f>
        <v>253</v>
      </c>
      <c r="H23" s="246">
        <f>'Raw FS'!K21</f>
        <v>270</v>
      </c>
      <c r="I23" s="246">
        <f>'Raw FS'!L21</f>
        <v>298</v>
      </c>
      <c r="J23" s="246">
        <f>'Raw FS'!M21</f>
        <v>325</v>
      </c>
      <c r="K23" s="246">
        <f>'Raw FS'!N21</f>
        <v>351</v>
      </c>
    </row>
    <row r="24" spans="1:11" x14ac:dyDescent="0.3">
      <c r="B24" s="259" t="s">
        <v>212</v>
      </c>
      <c r="C24" s="53"/>
      <c r="D24" s="53"/>
      <c r="E24" s="53"/>
      <c r="F24" s="53"/>
      <c r="G24" s="246">
        <f>'Raw FS'!J22</f>
        <v>113</v>
      </c>
      <c r="H24" s="246">
        <f>'Raw FS'!K22</f>
        <v>146</v>
      </c>
      <c r="I24" s="246">
        <f>'Raw FS'!L22</f>
        <v>175</v>
      </c>
      <c r="J24" s="246">
        <f>'Raw FS'!M22</f>
        <v>203</v>
      </c>
      <c r="K24" s="246">
        <f>'Raw FS'!N22</f>
        <v>216</v>
      </c>
    </row>
    <row r="25" spans="1:11" x14ac:dyDescent="0.3">
      <c r="B25" s="259" t="s">
        <v>213</v>
      </c>
      <c r="C25" s="53"/>
      <c r="D25" s="53"/>
      <c r="E25" s="53"/>
      <c r="F25" s="53"/>
      <c r="G25" s="246">
        <f>'Raw FS'!J23</f>
        <v>32</v>
      </c>
      <c r="H25" s="246">
        <f>'Raw FS'!K23</f>
        <v>36</v>
      </c>
      <c r="I25" s="246">
        <f>'Raw FS'!L23</f>
        <v>40</v>
      </c>
      <c r="J25" s="246">
        <f>'Raw FS'!M23</f>
        <v>34</v>
      </c>
      <c r="K25" s="246">
        <f>'Raw FS'!N23</f>
        <v>45</v>
      </c>
    </row>
    <row r="26" spans="1:11" x14ac:dyDescent="0.3">
      <c r="B26" s="259" t="s">
        <v>214</v>
      </c>
      <c r="C26" s="53"/>
      <c r="D26" s="53"/>
      <c r="E26" s="53"/>
      <c r="F26" s="53"/>
      <c r="G26" s="246">
        <f>'Raw FS'!J24</f>
        <v>345</v>
      </c>
      <c r="H26" s="246">
        <f>'Raw FS'!K24</f>
        <v>422</v>
      </c>
      <c r="I26" s="246">
        <f>'Raw FS'!L24</f>
        <v>850</v>
      </c>
      <c r="J26" s="246">
        <f>'Raw FS'!M24</f>
        <v>827</v>
      </c>
      <c r="K26" s="246">
        <f>'Raw FS'!N24</f>
        <v>833</v>
      </c>
    </row>
    <row r="27" spans="1:11" x14ac:dyDescent="0.3">
      <c r="B27" s="259" t="s">
        <v>215</v>
      </c>
      <c r="C27" s="95"/>
      <c r="D27" s="95"/>
      <c r="E27" s="95"/>
      <c r="F27" s="95"/>
      <c r="G27" s="246">
        <f>'Raw FS'!J25</f>
        <v>294</v>
      </c>
      <c r="H27" s="246">
        <f>'Raw FS'!K25</f>
        <v>289</v>
      </c>
      <c r="I27" s="246">
        <f>'Raw FS'!L25</f>
        <v>321</v>
      </c>
      <c r="J27" s="246">
        <f>'Raw FS'!M25</f>
        <v>328</v>
      </c>
      <c r="K27" s="246">
        <f>'Raw FS'!N25</f>
        <v>335</v>
      </c>
    </row>
    <row r="28" spans="1:11" x14ac:dyDescent="0.3">
      <c r="B28" s="92" t="s">
        <v>216</v>
      </c>
      <c r="C28" s="95"/>
      <c r="D28" s="95"/>
      <c r="E28" s="95"/>
      <c r="F28" s="95"/>
      <c r="G28" s="250">
        <f>SUM(G20:G27)</f>
        <v>8537</v>
      </c>
      <c r="H28" s="250">
        <f>SUM(H20:H27)</f>
        <v>9675</v>
      </c>
      <c r="I28" s="250">
        <f>SUM(I20:I27)</f>
        <v>11622</v>
      </c>
      <c r="J28" s="250">
        <f>SUM(J20:J27)</f>
        <v>14099</v>
      </c>
      <c r="K28" s="250">
        <f>SUM(K20:K27)</f>
        <v>15318</v>
      </c>
    </row>
    <row r="29" spans="1:11" x14ac:dyDescent="0.3">
      <c r="B29" t="s">
        <v>217</v>
      </c>
      <c r="G29" s="248">
        <f>-'Raw FS'!J27</f>
        <v>-3019</v>
      </c>
      <c r="H29" s="248">
        <f>-'Raw FS'!K27</f>
        <v>-3905</v>
      </c>
      <c r="I29" s="248">
        <f>-'Raw FS'!L27</f>
        <v>-4475</v>
      </c>
      <c r="J29" s="248">
        <f>-'Raw FS'!M27</f>
        <v>-4879</v>
      </c>
      <c r="K29" s="248">
        <f>-'Raw FS'!N27</f>
        <v>-5676</v>
      </c>
    </row>
    <row r="30" spans="1:11" x14ac:dyDescent="0.3">
      <c r="B30" s="92" t="s">
        <v>986</v>
      </c>
      <c r="C30" s="95"/>
      <c r="D30" s="95"/>
      <c r="E30" s="95"/>
      <c r="F30" s="95"/>
      <c r="G30" s="250">
        <f>G28+G29</f>
        <v>5518</v>
      </c>
      <c r="H30" s="250">
        <f t="shared" ref="H30:K30" si="4">H28+H29</f>
        <v>5770</v>
      </c>
      <c r="I30" s="250">
        <f t="shared" si="4"/>
        <v>7147</v>
      </c>
      <c r="J30" s="250">
        <f t="shared" si="4"/>
        <v>9220</v>
      </c>
      <c r="K30" s="250">
        <f t="shared" si="4"/>
        <v>9642</v>
      </c>
    </row>
    <row r="31" spans="1:11" x14ac:dyDescent="0.3">
      <c r="G31" s="248"/>
      <c r="H31" s="248"/>
      <c r="I31" s="248"/>
      <c r="J31" s="248"/>
      <c r="K31" s="248"/>
    </row>
    <row r="34" spans="1:11" x14ac:dyDescent="0.3">
      <c r="A34" t="s">
        <v>7</v>
      </c>
      <c r="B34" s="92" t="s">
        <v>987</v>
      </c>
      <c r="C34" s="95"/>
      <c r="D34" s="95"/>
      <c r="E34" s="95"/>
      <c r="F34" s="95"/>
      <c r="G34" s="250">
        <f>G30+ABS(G17)</f>
        <v>11247</v>
      </c>
      <c r="H34" s="250">
        <f>H30+ABS(H17)</f>
        <v>12254</v>
      </c>
      <c r="I34" s="250">
        <f>I30+ABS(I17)</f>
        <v>13529</v>
      </c>
      <c r="J34" s="250">
        <f>J30+ABS(J17)</f>
        <v>15588</v>
      </c>
      <c r="K34" s="250">
        <f>K30+ABS(K17)</f>
        <v>15963</v>
      </c>
    </row>
    <row r="35" spans="1:11" x14ac:dyDescent="0.3">
      <c r="B35" s="92" t="s">
        <v>224</v>
      </c>
      <c r="C35" s="92"/>
      <c r="D35" s="92"/>
      <c r="E35" s="92"/>
      <c r="F35" s="92"/>
      <c r="G35" s="250">
        <f>HistoricalFS!H18-HistoricalFS!H24</f>
        <v>3987.2499999999986</v>
      </c>
      <c r="H35" s="250">
        <f>HistoricalFS!I18-HistoricalFS!I24</f>
        <v>5401.8199999999961</v>
      </c>
      <c r="I35" s="250">
        <f>HistoricalFS!J18-HistoricalFS!J24</f>
        <v>6731.9800000000014</v>
      </c>
      <c r="J35" s="250">
        <f>HistoricalFS!K18-HistoricalFS!K24</f>
        <v>4979.8700000000017</v>
      </c>
      <c r="K35" s="250">
        <f>HistoricalFS!L18-HistoricalFS!L24</f>
        <v>5470.8800000000047</v>
      </c>
    </row>
    <row r="37" spans="1:11" ht="15" thickBot="1" x14ac:dyDescent="0.35">
      <c r="A37" t="s">
        <v>7</v>
      </c>
      <c r="B37" s="251" t="s">
        <v>988</v>
      </c>
      <c r="C37" s="251"/>
      <c r="D37" s="251"/>
      <c r="E37" s="251"/>
      <c r="F37" s="251"/>
      <c r="G37" s="252">
        <f>G35/G34</f>
        <v>0.35451676002489541</v>
      </c>
      <c r="H37" s="252">
        <f t="shared" ref="H37:K37" si="5">H35/H34</f>
        <v>0.44082095642239238</v>
      </c>
      <c r="I37" s="252">
        <f t="shared" si="5"/>
        <v>0.49759627466922918</v>
      </c>
      <c r="J37" s="252">
        <f t="shared" si="5"/>
        <v>0.31946818065178351</v>
      </c>
      <c r="K37" s="252">
        <f t="shared" si="5"/>
        <v>0.34272254588736484</v>
      </c>
    </row>
    <row r="38" spans="1:11" ht="15" thickTop="1" x14ac:dyDescent="0.3"/>
    <row r="39" spans="1:11" x14ac:dyDescent="0.3">
      <c r="B39" s="49" t="s">
        <v>989</v>
      </c>
      <c r="C39" s="49"/>
      <c r="D39" s="49"/>
      <c r="E39" s="49"/>
      <c r="F39" s="49"/>
      <c r="G39" s="49">
        <v>2022</v>
      </c>
      <c r="H39" s="49">
        <f>G39+1</f>
        <v>2023</v>
      </c>
      <c r="I39" s="49">
        <f t="shared" ref="I39:K39" si="6">H39+1</f>
        <v>2024</v>
      </c>
      <c r="J39" s="49">
        <f t="shared" si="6"/>
        <v>2025</v>
      </c>
      <c r="K39" s="49">
        <f t="shared" si="6"/>
        <v>2026</v>
      </c>
    </row>
    <row r="41" spans="1:11" x14ac:dyDescent="0.3">
      <c r="B41" t="s">
        <v>990</v>
      </c>
      <c r="G41" s="248">
        <f>-SUM('Raw FS'!J53:J54)</f>
        <v>511</v>
      </c>
      <c r="H41" s="248">
        <f>-SUM('Raw FS'!K53:K54)</f>
        <v>1420</v>
      </c>
      <c r="I41" s="248">
        <f>-SUM('Raw FS'!L53:L54)</f>
        <v>2491</v>
      </c>
      <c r="J41" s="248">
        <f>-SUM('Raw FS'!M53:M54)</f>
        <v>1820</v>
      </c>
      <c r="K41" s="248">
        <f>-SUM('Raw FS'!N53:N54)</f>
        <v>1484</v>
      </c>
    </row>
    <row r="42" spans="1:11" x14ac:dyDescent="0.3">
      <c r="B42" t="s">
        <v>991</v>
      </c>
      <c r="G42" s="248"/>
      <c r="H42" s="248">
        <f>H17-G17</f>
        <v>755</v>
      </c>
      <c r="I42" s="248">
        <f t="shared" ref="I42:K42" si="7">I17-H17</f>
        <v>-102</v>
      </c>
      <c r="J42" s="248">
        <f t="shared" si="7"/>
        <v>-14</v>
      </c>
      <c r="K42" s="248">
        <f t="shared" si="7"/>
        <v>-47</v>
      </c>
    </row>
    <row r="43" spans="1:11" x14ac:dyDescent="0.3">
      <c r="G43" s="248"/>
      <c r="H43" s="248"/>
      <c r="I43" s="248"/>
      <c r="J43" s="248"/>
      <c r="K43" s="248"/>
    </row>
    <row r="44" spans="1:11" x14ac:dyDescent="0.3">
      <c r="B44" t="s">
        <v>224</v>
      </c>
      <c r="G44" s="248">
        <f>G35</f>
        <v>3987.2499999999986</v>
      </c>
      <c r="H44" s="248">
        <f t="shared" ref="H44:K44" si="8">H35</f>
        <v>5401.8199999999961</v>
      </c>
      <c r="I44" s="248">
        <f t="shared" si="8"/>
        <v>6731.9800000000014</v>
      </c>
      <c r="J44" s="248">
        <f t="shared" si="8"/>
        <v>4979.8700000000017</v>
      </c>
      <c r="K44" s="248">
        <f t="shared" si="8"/>
        <v>5470.8800000000047</v>
      </c>
    </row>
    <row r="45" spans="1:11" x14ac:dyDescent="0.3">
      <c r="B45" t="s">
        <v>992</v>
      </c>
      <c r="G45" s="253">
        <v>0.25</v>
      </c>
      <c r="H45" s="253">
        <v>0.25</v>
      </c>
      <c r="I45" s="253">
        <v>0.25</v>
      </c>
      <c r="J45" s="253">
        <v>0.25</v>
      </c>
      <c r="K45" s="253">
        <v>0.25</v>
      </c>
    </row>
    <row r="46" spans="1:11" x14ac:dyDescent="0.3">
      <c r="B46" t="s">
        <v>993</v>
      </c>
      <c r="G46" s="248">
        <f>G44*(1-G45)</f>
        <v>2990.4374999999991</v>
      </c>
      <c r="H46" s="248">
        <f t="shared" ref="H46:K46" si="9">H44*(1-H45)</f>
        <v>4051.3649999999971</v>
      </c>
      <c r="I46" s="248">
        <f t="shared" si="9"/>
        <v>5048.9850000000006</v>
      </c>
      <c r="J46" s="248">
        <f t="shared" si="9"/>
        <v>3734.9025000000011</v>
      </c>
      <c r="K46" s="248">
        <f t="shared" si="9"/>
        <v>4103.1600000000035</v>
      </c>
    </row>
    <row r="47" spans="1:11" x14ac:dyDescent="0.3">
      <c r="G47" s="248"/>
      <c r="H47" s="248"/>
      <c r="I47" s="248"/>
      <c r="J47" s="248"/>
      <c r="K47" s="248"/>
    </row>
    <row r="48" spans="1:11" x14ac:dyDescent="0.3">
      <c r="B48" t="s">
        <v>994</v>
      </c>
      <c r="G48" s="248"/>
      <c r="H48" s="248">
        <f>H41+H42</f>
        <v>2175</v>
      </c>
      <c r="I48" s="248">
        <f>I41+I42</f>
        <v>2389</v>
      </c>
      <c r="J48" s="248">
        <f>J41+J42</f>
        <v>1806</v>
      </c>
      <c r="K48" s="248">
        <f>K41+K42</f>
        <v>1437</v>
      </c>
    </row>
    <row r="49" spans="1:11" ht="15" thickBot="1" x14ac:dyDescent="0.35">
      <c r="B49" s="251" t="s">
        <v>995</v>
      </c>
      <c r="C49" s="251"/>
      <c r="D49" s="251"/>
      <c r="E49" s="251"/>
      <c r="F49" s="251"/>
      <c r="G49" s="251"/>
      <c r="H49" s="252">
        <f>H48/H46</f>
        <v>0.53685609664890765</v>
      </c>
      <c r="I49" s="252">
        <f t="shared" ref="I49:K49" si="10">I48/I46</f>
        <v>0.4731644082919636</v>
      </c>
      <c r="J49" s="252">
        <f t="shared" si="10"/>
        <v>0.48354675925275142</v>
      </c>
      <c r="K49" s="252">
        <f t="shared" si="10"/>
        <v>0.35021788085280581</v>
      </c>
    </row>
    <row r="50" spans="1:11" ht="15.6" thickTop="1" thickBot="1" x14ac:dyDescent="0.35"/>
    <row r="51" spans="1:11" x14ac:dyDescent="0.3">
      <c r="J51" s="254" t="s">
        <v>996</v>
      </c>
      <c r="K51" s="255">
        <f>AVERAGE(H49:K49)</f>
        <v>0.46094628626160711</v>
      </c>
    </row>
    <row r="52" spans="1:11" ht="15" thickBot="1" x14ac:dyDescent="0.35">
      <c r="J52" s="256" t="s">
        <v>997</v>
      </c>
      <c r="K52" s="257">
        <f>MEDIAN(H49:K49)</f>
        <v>0.47835558377235754</v>
      </c>
    </row>
    <row r="54" spans="1:11" x14ac:dyDescent="0.3">
      <c r="B54" s="49" t="s">
        <v>998</v>
      </c>
      <c r="C54" s="49"/>
      <c r="D54" s="49"/>
      <c r="E54" s="49"/>
      <c r="F54" s="49"/>
      <c r="G54" s="49">
        <v>2022</v>
      </c>
      <c r="H54" s="49">
        <f>G54+1</f>
        <v>2023</v>
      </c>
      <c r="I54" s="49">
        <f t="shared" ref="I54:K54" si="11">H54+1</f>
        <v>2024</v>
      </c>
      <c r="J54" s="49">
        <f t="shared" si="11"/>
        <v>2025</v>
      </c>
      <c r="K54" s="49">
        <f t="shared" si="11"/>
        <v>2026</v>
      </c>
    </row>
    <row r="56" spans="1:11" x14ac:dyDescent="0.3">
      <c r="B56" t="s">
        <v>995</v>
      </c>
      <c r="H56" s="57">
        <f>H49</f>
        <v>0.53685609664890765</v>
      </c>
      <c r="I56" s="57">
        <f>I49</f>
        <v>0.4731644082919636</v>
      </c>
      <c r="J56" s="57">
        <f>J49</f>
        <v>0.48354675925275142</v>
      </c>
      <c r="K56" s="57">
        <f>K49</f>
        <v>0.35021788085280581</v>
      </c>
    </row>
    <row r="57" spans="1:11" x14ac:dyDescent="0.3">
      <c r="B57" t="s">
        <v>988</v>
      </c>
      <c r="H57" s="57">
        <f>H37</f>
        <v>0.44082095642239238</v>
      </c>
      <c r="I57" s="57">
        <f>I37</f>
        <v>0.49759627466922918</v>
      </c>
      <c r="J57" s="57">
        <f>J37</f>
        <v>0.31946818065178351</v>
      </c>
      <c r="K57" s="57">
        <f>K37</f>
        <v>0.34272254588736484</v>
      </c>
    </row>
    <row r="59" spans="1:11" ht="15" thickBot="1" x14ac:dyDescent="0.35">
      <c r="A59" s="1" t="s">
        <v>7</v>
      </c>
      <c r="B59" s="251" t="s">
        <v>999</v>
      </c>
      <c r="C59" s="251"/>
      <c r="D59" s="251"/>
      <c r="E59" s="251"/>
      <c r="F59" s="251"/>
      <c r="G59" s="251"/>
      <c r="H59" s="258">
        <f>H56*H57</f>
        <v>0.23665741798596379</v>
      </c>
      <c r="I59" s="258">
        <f t="shared" ref="I59:K59" si="12">I56*I57</f>
        <v>0.23544484687215123</v>
      </c>
      <c r="J59" s="258">
        <f t="shared" si="12"/>
        <v>0.15447780343854245</v>
      </c>
      <c r="K59" s="258">
        <f t="shared" si="12"/>
        <v>0.12002756374115141</v>
      </c>
    </row>
    <row r="60" spans="1:11" ht="15.6" thickTop="1" thickBot="1" x14ac:dyDescent="0.35"/>
    <row r="61" spans="1:11" x14ac:dyDescent="0.3">
      <c r="J61" s="254" t="s">
        <v>996</v>
      </c>
      <c r="K61" s="255">
        <f>AVERAGE(H59:K59)</f>
        <v>0.18665190800945222</v>
      </c>
    </row>
    <row r="62" spans="1:11" ht="15" thickBot="1" x14ac:dyDescent="0.35">
      <c r="J62" s="256" t="s">
        <v>997</v>
      </c>
      <c r="K62" s="257">
        <f>MEDIAN(H59:K59)</f>
        <v>0.19496132515534684</v>
      </c>
    </row>
  </sheetData>
  <mergeCells count="1">
    <mergeCell ref="B1:K1"/>
  </mergeCells>
  <pageMargins left="0.7" right="0.7" top="0.75" bottom="0.75" header="0.3" footer="0.3"/>
  <ignoredErrors>
    <ignoredError sqref="G41:K41"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59F2E-826C-4376-84B2-5C5DADE8FE8E}">
  <dimension ref="B2:N43"/>
  <sheetViews>
    <sheetView showGridLines="0" workbookViewId="0">
      <selection activeCell="D41" sqref="D41"/>
    </sheetView>
  </sheetViews>
  <sheetFormatPr defaultRowHeight="14.4" x14ac:dyDescent="0.3"/>
  <cols>
    <col min="1" max="1" width="1.88671875" customWidth="1"/>
    <col min="2" max="2" width="14.77734375" bestFit="1" customWidth="1"/>
    <col min="4" max="4" width="11" bestFit="1" customWidth="1"/>
    <col min="6" max="6" width="3.77734375" customWidth="1"/>
    <col min="8" max="8" width="11" bestFit="1" customWidth="1"/>
    <col min="9" max="13" width="9.44140625" bestFit="1" customWidth="1"/>
  </cols>
  <sheetData>
    <row r="2" spans="2:14" x14ac:dyDescent="0.3">
      <c r="B2" s="281" t="str">
        <f>"Intrisinic Growth"&amp;" - "&amp;Datasheet!$B$1</f>
        <v>Intrisinic Growth - ASIAN PAINTS LTD</v>
      </c>
      <c r="C2" s="281"/>
      <c r="D2" s="281"/>
      <c r="E2" s="281"/>
      <c r="F2" s="281"/>
      <c r="G2" s="281"/>
      <c r="H2" s="281"/>
      <c r="I2" s="281"/>
      <c r="J2" s="281"/>
      <c r="K2" s="281"/>
      <c r="L2" s="281"/>
      <c r="M2" s="281"/>
    </row>
    <row r="3" spans="2:14" x14ac:dyDescent="0.3">
      <c r="B3" s="49" t="s">
        <v>225</v>
      </c>
      <c r="C3" s="49"/>
      <c r="D3" s="49"/>
      <c r="E3" s="49"/>
      <c r="F3" s="49"/>
      <c r="G3" s="49"/>
      <c r="H3" s="49">
        <v>2026</v>
      </c>
      <c r="I3" s="96">
        <f>H3+1</f>
        <v>2027</v>
      </c>
      <c r="J3" s="96">
        <f t="shared" ref="J3:M3" si="0">I3+1</f>
        <v>2028</v>
      </c>
      <c r="K3" s="96">
        <f t="shared" si="0"/>
        <v>2029</v>
      </c>
      <c r="L3" s="96">
        <f t="shared" si="0"/>
        <v>2030</v>
      </c>
      <c r="M3" s="96">
        <f t="shared" si="0"/>
        <v>2031</v>
      </c>
    </row>
    <row r="5" spans="2:14" x14ac:dyDescent="0.3">
      <c r="B5" s="95" t="s">
        <v>224</v>
      </c>
      <c r="C5" s="95"/>
      <c r="D5" s="95"/>
      <c r="E5" s="95"/>
      <c r="F5" s="95"/>
      <c r="G5" s="95"/>
      <c r="H5" s="98">
        <f>HistoricalFS!L18-HistoricalFS!L24</f>
        <v>5470.8800000000047</v>
      </c>
      <c r="I5" s="156">
        <f>'Forecast(Explicit)'!C62</f>
        <v>6197.6509395057801</v>
      </c>
      <c r="J5" s="156">
        <f>'Forecast(Explicit)'!D62</f>
        <v>6560.3674304233546</v>
      </c>
      <c r="K5" s="156">
        <f>'Forecast(Explicit)'!E62</f>
        <v>7391.236997308044</v>
      </c>
      <c r="L5" s="156">
        <f>'Forecast(Explicit)'!F62</f>
        <v>7851.8301320002456</v>
      </c>
      <c r="M5" s="156">
        <f>'Forecast(Explicit)'!G62</f>
        <v>8369.6131144473547</v>
      </c>
    </row>
    <row r="6" spans="2:14" x14ac:dyDescent="0.3">
      <c r="B6" s="95" t="s">
        <v>150</v>
      </c>
      <c r="C6" s="95"/>
      <c r="D6" s="95"/>
      <c r="E6" s="95"/>
      <c r="F6" s="95"/>
      <c r="G6" s="95"/>
      <c r="H6" s="99">
        <v>0.25</v>
      </c>
      <c r="I6" s="161">
        <v>0.25</v>
      </c>
      <c r="J6" s="161">
        <v>0.25</v>
      </c>
      <c r="K6" s="161">
        <v>0.25</v>
      </c>
      <c r="L6" s="161">
        <v>0.25</v>
      </c>
      <c r="M6" s="161">
        <v>0.25</v>
      </c>
    </row>
    <row r="7" spans="2:14" x14ac:dyDescent="0.3">
      <c r="B7" s="95" t="s">
        <v>226</v>
      </c>
      <c r="C7" s="95"/>
      <c r="D7" s="95"/>
      <c r="E7" s="95"/>
      <c r="F7" s="95"/>
      <c r="G7" s="95"/>
      <c r="H7" s="98">
        <f>H5*(1-H6)</f>
        <v>4103.1600000000035</v>
      </c>
      <c r="I7" s="95">
        <f>I5*(1-I6)</f>
        <v>4648.2382046293351</v>
      </c>
      <c r="J7" s="95">
        <f t="shared" ref="J7:M7" si="1">J5*(1-J6)</f>
        <v>4920.2755728175161</v>
      </c>
      <c r="K7" s="95">
        <f t="shared" si="1"/>
        <v>5543.4277479810335</v>
      </c>
      <c r="L7" s="95">
        <f t="shared" si="1"/>
        <v>5888.872599000184</v>
      </c>
      <c r="M7" s="95">
        <f t="shared" si="1"/>
        <v>6277.2098358355161</v>
      </c>
    </row>
    <row r="8" spans="2:14" x14ac:dyDescent="0.3">
      <c r="B8" s="95" t="s">
        <v>668</v>
      </c>
      <c r="C8" s="95"/>
      <c r="D8" s="95"/>
      <c r="E8" s="95"/>
      <c r="F8" s="95"/>
      <c r="G8" s="95"/>
      <c r="H8" s="159">
        <f>HistoricalFS!L24</f>
        <v>1228.8499999999999</v>
      </c>
      <c r="I8" s="160">
        <f>'Forecast(Explicit)'!C31</f>
        <v>1346.0595404942203</v>
      </c>
      <c r="J8" s="160">
        <f>'Forecast(Explicit)'!D31</f>
        <v>1435.9656783766452</v>
      </c>
      <c r="K8" s="160">
        <f>'Forecast(Explicit)'!E31</f>
        <v>1592.6432504287573</v>
      </c>
      <c r="L8" s="160">
        <f>'Forecast(Explicit)'!F31</f>
        <v>1760.9217330781328</v>
      </c>
      <c r="M8" s="160">
        <f>'Forecast(Explicit)'!G31</f>
        <v>1916.0313811865087</v>
      </c>
    </row>
    <row r="9" spans="2:14" x14ac:dyDescent="0.3">
      <c r="B9" s="95" t="s">
        <v>669</v>
      </c>
      <c r="C9" s="95"/>
      <c r="D9" s="95"/>
      <c r="E9" s="95"/>
      <c r="F9" s="95"/>
      <c r="G9" s="95"/>
      <c r="H9" s="159">
        <f>ABS('Raw FS'!N53)</f>
        <v>1487</v>
      </c>
      <c r="I9" s="95">
        <f>'Forecast(Explicit)'!C40</f>
        <v>600</v>
      </c>
      <c r="J9" s="95">
        <f>'Forecast(Explicit)'!D40</f>
        <v>1000</v>
      </c>
      <c r="K9" s="95">
        <f>'Forecast(Explicit)'!E40</f>
        <v>900</v>
      </c>
      <c r="L9" s="95">
        <f>'Forecast(Explicit)'!F40</f>
        <v>400</v>
      </c>
      <c r="M9" s="95">
        <f>'Forecast(Explicit)'!G40</f>
        <v>0</v>
      </c>
    </row>
    <row r="10" spans="2:14" x14ac:dyDescent="0.3">
      <c r="B10" s="95" t="s">
        <v>670</v>
      </c>
      <c r="C10" s="95"/>
      <c r="D10" s="95"/>
      <c r="E10" s="95"/>
      <c r="F10" s="95"/>
      <c r="G10" s="95"/>
      <c r="H10" s="159"/>
      <c r="I10" s="156">
        <f>'Forecast(Explicit)'!C49-6646</f>
        <v>972.750597653152</v>
      </c>
      <c r="J10" s="156">
        <f>'Forecast(Explicit)'!D49-'Forecast(Explicit)'!C49</f>
        <v>457.12503585918785</v>
      </c>
      <c r="K10" s="156">
        <f>'Forecast(Explicit)'!E49-'Forecast(Explicit)'!D49</f>
        <v>529.96692992987118</v>
      </c>
      <c r="L10" s="156">
        <f>'Forecast(Explicit)'!F49-'Forecast(Explicit)'!E49</f>
        <v>602.40897944095741</v>
      </c>
      <c r="M10" s="156">
        <f>'Forecast(Explicit)'!G49-'Forecast(Explicit)'!F49</f>
        <v>644.57760800182041</v>
      </c>
      <c r="N10" s="157"/>
    </row>
    <row r="11" spans="2:14" x14ac:dyDescent="0.3">
      <c r="B11" s="95" t="s">
        <v>671</v>
      </c>
      <c r="C11" s="95"/>
      <c r="D11" s="95"/>
      <c r="E11" s="95"/>
      <c r="F11" s="95"/>
      <c r="G11" s="95"/>
      <c r="H11" s="159"/>
      <c r="I11" s="160">
        <f>I7+I8-I9-I10</f>
        <v>4421.5471474704036</v>
      </c>
      <c r="J11" s="160">
        <f>J7+J8-J9-J10</f>
        <v>4899.1162153349733</v>
      </c>
      <c r="K11" s="160">
        <f>K7+K8-K9-K10</f>
        <v>5706.1040684799191</v>
      </c>
      <c r="L11" s="160">
        <f t="shared" ref="L11:M11" si="2">L7+L8-L9-L10</f>
        <v>6647.3853526373596</v>
      </c>
      <c r="M11" s="160">
        <f t="shared" si="2"/>
        <v>7548.6636090202046</v>
      </c>
    </row>
    <row r="12" spans="2:14" x14ac:dyDescent="0.3">
      <c r="B12" t="s">
        <v>227</v>
      </c>
      <c r="H12" s="70"/>
      <c r="I12" s="51">
        <v>0.5</v>
      </c>
      <c r="J12" s="51">
        <v>1.5</v>
      </c>
      <c r="K12" s="51">
        <v>2.5</v>
      </c>
      <c r="L12" s="51">
        <v>3.5</v>
      </c>
      <c r="M12" s="51">
        <v>4.5</v>
      </c>
    </row>
    <row r="13" spans="2:14" x14ac:dyDescent="0.3">
      <c r="B13" s="95" t="s">
        <v>228</v>
      </c>
      <c r="C13" s="95"/>
      <c r="D13" s="95"/>
      <c r="E13" s="95"/>
      <c r="F13" s="95"/>
      <c r="G13" s="95"/>
      <c r="H13" s="98"/>
      <c r="I13" s="100">
        <f ca="1">1/(1+$C$18)^I12</f>
        <v>0.95023202587741362</v>
      </c>
      <c r="J13" s="100">
        <f ca="1">1/(1+$C$18)^J12</f>
        <v>0.85800336350821071</v>
      </c>
      <c r="K13" s="100">
        <f ca="1">1/(1+$C$18)^K12</f>
        <v>0.77472633182579531</v>
      </c>
      <c r="L13" s="100">
        <f ca="1">1/(1+$C$18)^L12</f>
        <v>0.69953209363905799</v>
      </c>
      <c r="M13" s="100">
        <f ca="1">1/(1+$C$18)^M12</f>
        <v>0.63163614031009552</v>
      </c>
    </row>
    <row r="14" spans="2:14" x14ac:dyDescent="0.3">
      <c r="H14" s="52"/>
      <c r="M14" s="95"/>
    </row>
    <row r="15" spans="2:14" ht="15" thickBot="1" x14ac:dyDescent="0.35">
      <c r="B15" s="94" t="s">
        <v>229</v>
      </c>
      <c r="C15" s="94"/>
      <c r="D15" s="94"/>
      <c r="E15" s="94"/>
      <c r="F15" s="94"/>
      <c r="G15" s="94"/>
      <c r="H15" s="101"/>
      <c r="I15" s="94">
        <f ca="1">I11*I13</f>
        <v>4201.4957034533008</v>
      </c>
      <c r="J15" s="94">
        <f t="shared" ref="J15:M15" ca="1" si="3">J11*J13</f>
        <v>4203.4581909750223</v>
      </c>
      <c r="K15" s="94">
        <f t="shared" ca="1" si="3"/>
        <v>4420.6690739896949</v>
      </c>
      <c r="L15" s="94">
        <f t="shared" ca="1" si="3"/>
        <v>4650.05939295602</v>
      </c>
      <c r="M15" s="94">
        <f t="shared" ca="1" si="3"/>
        <v>4768.0087465007982</v>
      </c>
    </row>
    <row r="16" spans="2:14" ht="15" thickTop="1" x14ac:dyDescent="0.3"/>
    <row r="17" spans="2:13" x14ac:dyDescent="0.3">
      <c r="B17" s="70" t="s">
        <v>230</v>
      </c>
      <c r="C17" s="97">
        <v>6.5000000000000002E-2</v>
      </c>
    </row>
    <row r="18" spans="2:13" x14ac:dyDescent="0.3">
      <c r="B18" s="70" t="s">
        <v>175</v>
      </c>
      <c r="C18" s="97">
        <f ca="1">WACC!K33</f>
        <v>0.10749219209595809</v>
      </c>
      <c r="G18" s="283" t="s">
        <v>728</v>
      </c>
      <c r="H18" s="283"/>
      <c r="I18" s="283"/>
      <c r="J18" s="283"/>
      <c r="K18" s="283"/>
      <c r="L18" s="283"/>
      <c r="M18" s="283"/>
    </row>
    <row r="19" spans="2:13" x14ac:dyDescent="0.3">
      <c r="G19" s="95"/>
      <c r="H19" s="282" t="s">
        <v>175</v>
      </c>
      <c r="I19" s="282"/>
      <c r="J19" s="282"/>
      <c r="K19" s="282"/>
      <c r="L19" s="282"/>
      <c r="M19" s="282"/>
    </row>
    <row r="20" spans="2:13" x14ac:dyDescent="0.3">
      <c r="B20" s="49" t="s">
        <v>231</v>
      </c>
      <c r="C20" s="49"/>
      <c r="D20" s="49"/>
      <c r="F20" s="284" t="s">
        <v>729</v>
      </c>
      <c r="G20" s="197">
        <f ca="1">D39</f>
        <v>1447.9887963712436</v>
      </c>
      <c r="H20" s="194">
        <v>0.1</v>
      </c>
      <c r="I20" s="194">
        <v>0.12993099999999999</v>
      </c>
      <c r="J20" s="194">
        <v>0.16</v>
      </c>
      <c r="K20" s="194">
        <v>0.19</v>
      </c>
      <c r="L20" s="194">
        <v>0.21</v>
      </c>
      <c r="M20" s="194">
        <v>0.23</v>
      </c>
    </row>
    <row r="21" spans="2:13" ht="14.4" customHeight="1" x14ac:dyDescent="0.3">
      <c r="F21" s="284"/>
      <c r="G21" s="195">
        <v>0.03</v>
      </c>
      <c r="H21" s="193">
        <f t="dataTable" ref="H21:M26" dt2D="1" dtr="1" r1="C18" r2="C17"/>
        <v>960.33194746782374</v>
      </c>
      <c r="I21" s="193">
        <v>658.6919415454829</v>
      </c>
      <c r="J21" s="193">
        <v>496.27648904283728</v>
      </c>
      <c r="K21" s="193">
        <v>395.60535828621107</v>
      </c>
      <c r="L21" s="193">
        <v>347.36906358785268</v>
      </c>
      <c r="M21" s="193">
        <v>308.93302152408916</v>
      </c>
    </row>
    <row r="22" spans="2:13" x14ac:dyDescent="0.3">
      <c r="B22" t="s">
        <v>232</v>
      </c>
      <c r="D22" s="17">
        <f>M11*(1+D24)</f>
        <v>8039.3267436065171</v>
      </c>
      <c r="F22" s="284"/>
      <c r="G22" s="195">
        <v>0.04</v>
      </c>
      <c r="H22" s="193">
        <v>1094.5581222785752</v>
      </c>
      <c r="I22" s="193">
        <v>715.79633368049315</v>
      </c>
      <c r="J22" s="193">
        <v>526.28423272981161</v>
      </c>
      <c r="K22" s="193">
        <v>413.44291207241633</v>
      </c>
      <c r="L22" s="193">
        <v>360.56653347275619</v>
      </c>
      <c r="M22" s="193">
        <v>318.96783757020575</v>
      </c>
    </row>
    <row r="23" spans="2:13" x14ac:dyDescent="0.3">
      <c r="B23" t="s">
        <v>175</v>
      </c>
      <c r="D23" s="57">
        <f ca="1">C18</f>
        <v>0.10749219209595809</v>
      </c>
      <c r="F23" s="284"/>
      <c r="G23" s="195">
        <v>0.05</v>
      </c>
      <c r="H23" s="193">
        <v>1282.4747670136269</v>
      </c>
      <c r="I23" s="193">
        <v>787.18914761305643</v>
      </c>
      <c r="J23" s="193">
        <v>561.74792981441738</v>
      </c>
      <c r="K23" s="193">
        <v>433.82868782807947</v>
      </c>
      <c r="L23" s="193">
        <v>375.41368709327259</v>
      </c>
      <c r="M23" s="193">
        <v>330.11763317700178</v>
      </c>
    </row>
    <row r="24" spans="2:13" x14ac:dyDescent="0.3">
      <c r="B24" t="s">
        <v>233</v>
      </c>
      <c r="D24" s="57">
        <f>C17</f>
        <v>6.5000000000000002E-2</v>
      </c>
      <c r="F24" s="284"/>
      <c r="G24" s="195">
        <v>6.5000000000000002E-2</v>
      </c>
      <c r="H24" s="193">
        <v>1765.6889963323315</v>
      </c>
      <c r="I24" s="196">
        <v>935.51029967684724</v>
      </c>
      <c r="J24" s="193">
        <v>628.94230323788133</v>
      </c>
      <c r="K24" s="193">
        <v>470.52308418827317</v>
      </c>
      <c r="L24" s="193">
        <v>401.52419863280147</v>
      </c>
      <c r="M24" s="193">
        <v>349.37637104328593</v>
      </c>
    </row>
    <row r="25" spans="2:13" ht="15" thickBot="1" x14ac:dyDescent="0.35">
      <c r="F25" s="284"/>
      <c r="G25" s="195">
        <v>0.08</v>
      </c>
      <c r="H25" s="193">
        <v>2973.7245696290929</v>
      </c>
      <c r="I25" s="193">
        <v>1172.9471226047053</v>
      </c>
      <c r="J25" s="193">
        <v>721.33456669514408</v>
      </c>
      <c r="K25" s="193">
        <v>517.22504319215602</v>
      </c>
      <c r="L25" s="193">
        <v>433.66021283529852</v>
      </c>
      <c r="M25" s="193">
        <v>372.48685648282691</v>
      </c>
    </row>
    <row r="26" spans="2:13" ht="15" thickBot="1" x14ac:dyDescent="0.35">
      <c r="B26" s="78" t="s">
        <v>234</v>
      </c>
      <c r="C26" s="72"/>
      <c r="D26" s="232">
        <f ca="1">D22/(D23-D24)</f>
        <v>189195.38736555859</v>
      </c>
      <c r="F26" s="284"/>
      <c r="G26" s="195">
        <v>0.09</v>
      </c>
      <c r="H26" s="193">
        <v>5792.4742406548676</v>
      </c>
      <c r="I26" s="193">
        <v>1430.3413000529492</v>
      </c>
      <c r="J26" s="193">
        <v>804.92756696600077</v>
      </c>
      <c r="K26" s="193">
        <v>556.14334236205843</v>
      </c>
      <c r="L26" s="193">
        <v>459.5475576095323</v>
      </c>
      <c r="M26" s="193">
        <v>390.64509504246632</v>
      </c>
    </row>
    <row r="28" spans="2:13" x14ac:dyDescent="0.3">
      <c r="B28" s="49" t="s">
        <v>235</v>
      </c>
      <c r="C28" s="49"/>
      <c r="D28" s="49"/>
    </row>
    <row r="30" spans="2:13" x14ac:dyDescent="0.3">
      <c r="B30" t="s">
        <v>229</v>
      </c>
      <c r="D30" s="157">
        <f ca="1">SUM(I15:M15)</f>
        <v>22243.691107874838</v>
      </c>
    </row>
    <row r="31" spans="2:13" x14ac:dyDescent="0.3">
      <c r="B31" t="s">
        <v>236</v>
      </c>
      <c r="D31" s="157">
        <f ca="1">D26/(1+C18)^M12</f>
        <v>119502.64424005484</v>
      </c>
    </row>
    <row r="32" spans="2:13" x14ac:dyDescent="0.3">
      <c r="B32" s="1" t="s">
        <v>727</v>
      </c>
      <c r="C32" s="1"/>
      <c r="D32" s="233">
        <f ca="1">SUM(D30:D31)</f>
        <v>141746.33534792968</v>
      </c>
    </row>
    <row r="34" spans="2:4" x14ac:dyDescent="0.3">
      <c r="B34" t="s">
        <v>237</v>
      </c>
      <c r="D34" s="157">
        <f>Datasheet!K69</f>
        <v>1073.68</v>
      </c>
    </row>
    <row r="35" spans="2:4" x14ac:dyDescent="0.3">
      <c r="B35" t="s">
        <v>238</v>
      </c>
      <c r="D35" s="157">
        <f>SUM(Datasheet!K59)</f>
        <v>3928.93</v>
      </c>
    </row>
    <row r="36" spans="2:4" x14ac:dyDescent="0.3">
      <c r="B36" s="1" t="s">
        <v>692</v>
      </c>
      <c r="D36" s="233">
        <f ca="1">D32+D34-D35</f>
        <v>138891.08534792968</v>
      </c>
    </row>
    <row r="37" spans="2:4" x14ac:dyDescent="0.3">
      <c r="B37" t="s">
        <v>239</v>
      </c>
      <c r="D37" s="157">
        <f>Datasheet!K93</f>
        <v>95.92</v>
      </c>
    </row>
    <row r="38" spans="2:4" ht="15" thickBot="1" x14ac:dyDescent="0.35"/>
    <row r="39" spans="2:4" ht="15" thickBot="1" x14ac:dyDescent="0.35">
      <c r="B39" s="78" t="s">
        <v>240</v>
      </c>
      <c r="C39" s="72"/>
      <c r="D39" s="234">
        <f ca="1">D36/D37</f>
        <v>1447.9887963712436</v>
      </c>
    </row>
    <row r="41" spans="2:4" x14ac:dyDescent="0.3">
      <c r="B41" t="s">
        <v>241</v>
      </c>
      <c r="D41" s="102">
        <v>2761</v>
      </c>
    </row>
    <row r="42" spans="2:4" x14ac:dyDescent="0.3">
      <c r="B42" t="s">
        <v>242</v>
      </c>
      <c r="D42" s="103">
        <f ca="1">D41/D39-1</f>
        <v>0.90678270917513326</v>
      </c>
    </row>
    <row r="43" spans="2:4" x14ac:dyDescent="0.3">
      <c r="B43" s="1" t="s">
        <v>885</v>
      </c>
    </row>
  </sheetData>
  <mergeCells count="4">
    <mergeCell ref="B2:M2"/>
    <mergeCell ref="H19:M19"/>
    <mergeCell ref="G18:M18"/>
    <mergeCell ref="F20:F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571D-4B18-4EA0-9E0A-0225E7A8B61B}">
  <dimension ref="B2:Q33"/>
  <sheetViews>
    <sheetView showGridLines="0" topLeftCell="A12" workbookViewId="0">
      <selection activeCell="O39" sqref="O39"/>
    </sheetView>
  </sheetViews>
  <sheetFormatPr defaultRowHeight="14.4" x14ac:dyDescent="0.3"/>
  <cols>
    <col min="1" max="1" width="1.88671875" customWidth="1"/>
    <col min="2" max="2" width="13.44140625" bestFit="1" customWidth="1"/>
    <col min="3" max="3" width="10.109375" customWidth="1"/>
    <col min="4" max="4" width="10.33203125" customWidth="1"/>
    <col min="5" max="5" width="17.5546875" bestFit="1" customWidth="1"/>
    <col min="6" max="6" width="11.5546875" bestFit="1" customWidth="1"/>
    <col min="7" max="7" width="8.44140625" customWidth="1"/>
    <col min="8" max="8" width="14.77734375" customWidth="1"/>
    <col min="10" max="10" width="1.88671875" customWidth="1"/>
    <col min="14" max="14" width="1.88671875" customWidth="1"/>
    <col min="15" max="15" width="11" bestFit="1" customWidth="1"/>
    <col min="16" max="16" width="10" bestFit="1" customWidth="1"/>
    <col min="17" max="17" width="10.21875" bestFit="1" customWidth="1"/>
  </cols>
  <sheetData>
    <row r="2" spans="2:17" x14ac:dyDescent="0.3">
      <c r="B2" s="281" t="str">
        <f>"Relative Valuation"&amp;" - "&amp;Datasheet!$B$1</f>
        <v>Relative Valuation - ASIAN PAINTS LTD</v>
      </c>
      <c r="C2" s="281"/>
      <c r="D2" s="281"/>
      <c r="E2" s="281"/>
      <c r="F2" s="281"/>
      <c r="G2" s="281"/>
      <c r="H2" s="281"/>
      <c r="I2" s="281"/>
      <c r="J2" s="281"/>
      <c r="K2" s="281"/>
      <c r="L2" s="281"/>
      <c r="M2" s="281"/>
      <c r="N2" s="281"/>
      <c r="O2" s="281"/>
      <c r="P2" s="281"/>
      <c r="Q2" s="281"/>
    </row>
    <row r="3" spans="2:17" x14ac:dyDescent="0.3">
      <c r="B3" s="192" t="s">
        <v>726</v>
      </c>
    </row>
    <row r="4" spans="2:17" x14ac:dyDescent="0.3">
      <c r="B4" s="56" t="s">
        <v>725</v>
      </c>
      <c r="C4" s="54"/>
      <c r="D4" s="54"/>
      <c r="E4" s="54"/>
      <c r="F4" s="54"/>
      <c r="G4" s="54"/>
      <c r="H4" s="54"/>
      <c r="I4" s="54"/>
      <c r="J4" s="54"/>
      <c r="K4" s="54"/>
      <c r="L4" s="54"/>
      <c r="M4" s="54"/>
      <c r="N4" s="54"/>
      <c r="O4" s="54"/>
      <c r="P4" s="54"/>
      <c r="Q4" s="54"/>
    </row>
    <row r="5" spans="2:17" ht="5.4" customHeight="1" x14ac:dyDescent="0.3"/>
    <row r="6" spans="2:17" x14ac:dyDescent="0.3">
      <c r="B6" s="172"/>
      <c r="C6" s="172"/>
      <c r="D6" s="285" t="s">
        <v>693</v>
      </c>
      <c r="E6" s="285"/>
      <c r="F6" s="285"/>
      <c r="G6" s="285"/>
      <c r="H6" s="285"/>
      <c r="I6" s="285"/>
      <c r="J6" s="172"/>
      <c r="K6" s="285" t="s">
        <v>693</v>
      </c>
      <c r="L6" s="285"/>
      <c r="M6" s="285"/>
      <c r="N6" s="172"/>
      <c r="O6" s="285" t="s">
        <v>696</v>
      </c>
      <c r="P6" s="285"/>
      <c r="Q6" s="285"/>
    </row>
    <row r="7" spans="2:17" x14ac:dyDescent="0.3">
      <c r="B7" s="173" t="s">
        <v>698</v>
      </c>
      <c r="C7" s="173" t="s">
        <v>697</v>
      </c>
      <c r="D7" s="185" t="s">
        <v>241</v>
      </c>
      <c r="E7" s="185" t="s">
        <v>689</v>
      </c>
      <c r="F7" s="185" t="s">
        <v>690</v>
      </c>
      <c r="G7" s="185" t="s">
        <v>691</v>
      </c>
      <c r="H7" s="185" t="s">
        <v>692</v>
      </c>
      <c r="I7" s="186"/>
      <c r="J7" s="186"/>
      <c r="K7" s="185" t="s">
        <v>694</v>
      </c>
      <c r="L7" s="185" t="s">
        <v>3</v>
      </c>
      <c r="M7" s="185" t="s">
        <v>695</v>
      </c>
      <c r="N7" s="186"/>
      <c r="O7" s="187" t="s">
        <v>712</v>
      </c>
      <c r="P7" s="187" t="s">
        <v>713</v>
      </c>
      <c r="Q7" s="187" t="s">
        <v>714</v>
      </c>
    </row>
    <row r="8" spans="2:17" ht="3.6" customHeight="1" x14ac:dyDescent="0.3">
      <c r="B8" s="176"/>
      <c r="C8" s="176"/>
      <c r="D8" s="176"/>
      <c r="E8" s="176"/>
      <c r="F8" s="176"/>
      <c r="G8" s="176"/>
      <c r="H8" s="176"/>
      <c r="I8" s="177"/>
      <c r="J8" s="177"/>
      <c r="K8" s="176"/>
      <c r="L8" s="176"/>
      <c r="M8" s="176"/>
      <c r="N8" s="177"/>
      <c r="O8" s="178"/>
      <c r="P8" s="178"/>
      <c r="Q8" s="178"/>
    </row>
    <row r="9" spans="2:17" x14ac:dyDescent="0.3">
      <c r="B9" s="179" t="str">
        <f>'Data for Rel Val'!C2</f>
        <v>Asian Paints</v>
      </c>
      <c r="C9" s="179"/>
      <c r="D9" s="235">
        <f>'Data for Rel Val'!D2</f>
        <v>2747.3</v>
      </c>
      <c r="E9" s="235">
        <f>'Data for Rel Val'!E2</f>
        <v>95.92</v>
      </c>
      <c r="F9" s="235">
        <f>D9*E9</f>
        <v>263521.016</v>
      </c>
      <c r="G9" s="235">
        <f>'Data for Rel Val'!H2</f>
        <v>2855.25</v>
      </c>
      <c r="H9" s="235">
        <f>F9+G9</f>
        <v>266376.266</v>
      </c>
      <c r="I9" s="235"/>
      <c r="J9" s="235"/>
      <c r="K9" s="235">
        <f>'Data for Rel Val'!K2</f>
        <v>37186.93</v>
      </c>
      <c r="L9" s="235">
        <f>'Data for Rel Val'!L2</f>
        <v>8471.1826540000002</v>
      </c>
      <c r="M9" s="235">
        <f>'Data for Rel Val'!M2</f>
        <v>4837.09</v>
      </c>
      <c r="N9" s="179"/>
      <c r="O9" s="181">
        <f>$H9/K9</f>
        <v>7.163169048910464</v>
      </c>
      <c r="P9" s="181">
        <f>$H9/L9</f>
        <v>31.444991435076663</v>
      </c>
      <c r="Q9" s="181">
        <f>F9/M9</f>
        <v>54.479245992942033</v>
      </c>
    </row>
    <row r="10" spans="2:17" x14ac:dyDescent="0.3">
      <c r="B10" s="180" t="str">
        <f>'Data for Rel Val'!C3</f>
        <v>Berger Paints</v>
      </c>
      <c r="C10" s="180"/>
      <c r="D10" s="190">
        <f>'Data for Rel Val'!D3</f>
        <v>520.45000000000005</v>
      </c>
      <c r="E10" s="190">
        <f>'Data for Rel Val'!E3</f>
        <v>116.6</v>
      </c>
      <c r="F10" s="190">
        <f t="shared" ref="F10:F15" si="0">D10*E10</f>
        <v>60684.47</v>
      </c>
      <c r="G10" s="190">
        <f>'Data for Rel Val'!H3</f>
        <v>329.82</v>
      </c>
      <c r="H10" s="190">
        <f t="shared" ref="H10:H15" si="1">F10+G10</f>
        <v>61014.29</v>
      </c>
      <c r="I10" s="190"/>
      <c r="J10" s="190"/>
      <c r="K10" s="190">
        <f>'Data for Rel Val'!K3</f>
        <v>11880.25</v>
      </c>
      <c r="L10" s="190">
        <f>'Data for Rel Val'!L3</f>
        <v>2225.1708250000001</v>
      </c>
      <c r="M10" s="190">
        <f>'Data for Rel Val'!M3</f>
        <v>1128.02</v>
      </c>
      <c r="N10" s="180"/>
      <c r="O10" s="182">
        <f t="shared" ref="O10:P15" si="2">$H10/K10</f>
        <v>5.1357749205614365</v>
      </c>
      <c r="P10" s="182">
        <f t="shared" si="2"/>
        <v>27.420047627129929</v>
      </c>
      <c r="Q10" s="182">
        <f t="shared" ref="Q10:Q15" si="3">F10/M10</f>
        <v>53.797335153632027</v>
      </c>
    </row>
    <row r="11" spans="2:17" x14ac:dyDescent="0.3">
      <c r="B11" s="180" t="str">
        <f>'Data for Rel Val'!C4</f>
        <v>Kansai Nerolac</v>
      </c>
      <c r="C11" s="180"/>
      <c r="D11" s="190">
        <f>'Data for Rel Val'!D4</f>
        <v>196.74</v>
      </c>
      <c r="E11" s="190">
        <f>'Data for Rel Val'!E4</f>
        <v>80.87</v>
      </c>
      <c r="F11" s="190">
        <f t="shared" si="0"/>
        <v>15910.363800000001</v>
      </c>
      <c r="G11" s="190">
        <f>'Data for Rel Val'!H4</f>
        <v>76.950000000000017</v>
      </c>
      <c r="H11" s="190">
        <f t="shared" si="1"/>
        <v>15987.313800000002</v>
      </c>
      <c r="I11" s="190"/>
      <c r="J11" s="190"/>
      <c r="K11" s="190">
        <f>'Data for Rel Val'!K4</f>
        <v>8051.91</v>
      </c>
      <c r="L11" s="190">
        <f>'Data for Rel Val'!L4</f>
        <v>1202.9553539999999</v>
      </c>
      <c r="M11" s="190">
        <f>'Data for Rel Val'!M4</f>
        <v>575.84</v>
      </c>
      <c r="N11" s="180"/>
      <c r="O11" s="182">
        <f t="shared" si="2"/>
        <v>1.9855306132333821</v>
      </c>
      <c r="P11" s="182">
        <f t="shared" si="2"/>
        <v>13.290030878402826</v>
      </c>
      <c r="Q11" s="182">
        <f t="shared" si="3"/>
        <v>27.629834328980273</v>
      </c>
    </row>
    <row r="12" spans="2:17" x14ac:dyDescent="0.3">
      <c r="B12" s="180" t="str">
        <f>'Data for Rel Val'!C5</f>
        <v>JSW Dulux</v>
      </c>
      <c r="C12" s="180"/>
      <c r="D12" s="190">
        <f>'Data for Rel Val'!D5</f>
        <v>2938.8</v>
      </c>
      <c r="E12" s="190">
        <f>'Data for Rel Val'!E5</f>
        <v>4.55</v>
      </c>
      <c r="F12" s="190">
        <f t="shared" si="0"/>
        <v>13371.54</v>
      </c>
      <c r="G12" s="190">
        <f>'Data for Rel Val'!H5</f>
        <v>-244.6</v>
      </c>
      <c r="H12" s="190">
        <f t="shared" si="1"/>
        <v>13126.94</v>
      </c>
      <c r="I12" s="190"/>
      <c r="J12" s="190"/>
      <c r="K12" s="190">
        <f>'Data for Rel Val'!K5</f>
        <v>3599.2</v>
      </c>
      <c r="L12" s="190">
        <f>'Data for Rel Val'!L5</f>
        <v>584.5100799999999</v>
      </c>
      <c r="M12" s="190">
        <f>'Data for Rel Val'!M5</f>
        <v>1973.8</v>
      </c>
      <c r="N12" s="180"/>
      <c r="O12" s="182">
        <f t="shared" si="2"/>
        <v>3.6471827072682821</v>
      </c>
      <c r="P12" s="182">
        <f t="shared" si="2"/>
        <v>22.458021596479572</v>
      </c>
      <c r="Q12" s="182">
        <f t="shared" si="3"/>
        <v>6.7745161617185135</v>
      </c>
    </row>
    <row r="13" spans="2:17" x14ac:dyDescent="0.3">
      <c r="B13" s="180" t="str">
        <f>'Data for Rel Val'!C6</f>
        <v>Indigo Paints</v>
      </c>
      <c r="C13" s="180"/>
      <c r="D13" s="190">
        <f>'Data for Rel Val'!D6</f>
        <v>1111.8</v>
      </c>
      <c r="E13" s="190">
        <f>'Data for Rel Val'!E6</f>
        <v>4.7699999999999996</v>
      </c>
      <c r="F13" s="190">
        <f t="shared" si="0"/>
        <v>5303.2859999999991</v>
      </c>
      <c r="G13" s="190">
        <f>'Data for Rel Val'!H6</f>
        <v>-10.18</v>
      </c>
      <c r="H13" s="190">
        <f t="shared" si="1"/>
        <v>5293.1059999999989</v>
      </c>
      <c r="I13" s="190"/>
      <c r="J13" s="190"/>
      <c r="K13" s="190">
        <f>'Data for Rel Val'!K6</f>
        <v>1330.12</v>
      </c>
      <c r="L13" s="190">
        <f>'Data for Rel Val'!L6</f>
        <v>302.20326399999999</v>
      </c>
      <c r="M13" s="190">
        <f>'Data for Rel Val'!M6</f>
        <v>145.38999999999999</v>
      </c>
      <c r="N13" s="180"/>
      <c r="O13" s="182">
        <f t="shared" si="2"/>
        <v>3.9794199019637322</v>
      </c>
      <c r="P13" s="182">
        <f t="shared" si="2"/>
        <v>17.515052385403749</v>
      </c>
      <c r="Q13" s="182">
        <f t="shared" si="3"/>
        <v>36.47627759818419</v>
      </c>
    </row>
    <row r="14" spans="2:17" x14ac:dyDescent="0.3">
      <c r="B14" s="180" t="str">
        <f>'Data for Rel Val'!C7</f>
        <v>Sirca Paints</v>
      </c>
      <c r="C14" s="180"/>
      <c r="D14" s="190">
        <f>'Data for Rel Val'!D7</f>
        <v>420.45</v>
      </c>
      <c r="E14" s="190">
        <f>'Data for Rel Val'!E7</f>
        <v>5.68</v>
      </c>
      <c r="F14" s="190">
        <f t="shared" si="0"/>
        <v>2388.1559999999999</v>
      </c>
      <c r="G14" s="190">
        <f>'Data for Rel Val'!H7</f>
        <v>-25.659999999999997</v>
      </c>
      <c r="H14" s="190">
        <f t="shared" si="1"/>
        <v>2362.4960000000001</v>
      </c>
      <c r="I14" s="190"/>
      <c r="J14" s="190"/>
      <c r="K14" s="190">
        <f>'Data for Rel Val'!K7</f>
        <v>508.26</v>
      </c>
      <c r="L14" s="190">
        <f>'Data for Rel Val'!L7</f>
        <v>111.30893999999999</v>
      </c>
      <c r="M14" s="190">
        <f>'Data for Rel Val'!M7</f>
        <v>67.05</v>
      </c>
      <c r="N14" s="180"/>
      <c r="O14" s="182">
        <f t="shared" si="2"/>
        <v>4.6482036752843037</v>
      </c>
      <c r="P14" s="182">
        <f t="shared" si="2"/>
        <v>21.224674316366684</v>
      </c>
      <c r="Q14" s="182">
        <f t="shared" si="3"/>
        <v>35.617539149888145</v>
      </c>
    </row>
    <row r="15" spans="2:17" x14ac:dyDescent="0.3">
      <c r="B15" s="180" t="str">
        <f>'Data for Rel Val'!C8</f>
        <v>Shalimar Paints</v>
      </c>
      <c r="C15" s="180"/>
      <c r="D15" s="190">
        <f>'Data for Rel Val'!D8</f>
        <v>66.680000000000007</v>
      </c>
      <c r="E15" s="190">
        <f>'Data for Rel Val'!E8</f>
        <v>8.3699999999999992</v>
      </c>
      <c r="F15" s="190">
        <f t="shared" si="0"/>
        <v>558.11159999999995</v>
      </c>
      <c r="G15" s="190">
        <f>'Data for Rel Val'!H8</f>
        <v>117.66999999999999</v>
      </c>
      <c r="H15" s="190">
        <f t="shared" si="1"/>
        <v>675.78159999999991</v>
      </c>
      <c r="I15" s="190"/>
      <c r="J15" s="190"/>
      <c r="K15" s="190">
        <f>'Data for Rel Val'!K8</f>
        <v>575.63</v>
      </c>
      <c r="L15" s="190">
        <f>'Data for Rel Val'!L8</f>
        <v>-28.205870000000001</v>
      </c>
      <c r="M15" s="190">
        <f>'Data for Rel Val'!M8</f>
        <v>-64.95</v>
      </c>
      <c r="N15" s="180"/>
      <c r="O15" s="182">
        <f t="shared" si="2"/>
        <v>1.1739860674391536</v>
      </c>
      <c r="P15" s="182">
        <f t="shared" si="2"/>
        <v>-23.958899335492926</v>
      </c>
      <c r="Q15" s="182">
        <f t="shared" si="3"/>
        <v>-8.5929422632794452</v>
      </c>
    </row>
    <row r="17" spans="2:17" x14ac:dyDescent="0.3">
      <c r="B17" s="52" t="s">
        <v>715</v>
      </c>
      <c r="C17" s="52"/>
      <c r="D17" s="52"/>
      <c r="E17" s="52"/>
      <c r="F17" s="52"/>
      <c r="G17" s="52"/>
      <c r="H17" s="52"/>
      <c r="I17" s="52"/>
      <c r="J17" s="52"/>
      <c r="K17" s="52"/>
      <c r="L17" s="52"/>
      <c r="M17" s="52"/>
      <c r="N17" s="52"/>
      <c r="O17" s="175">
        <f>MAX(O9:O15)</f>
        <v>7.163169048910464</v>
      </c>
      <c r="P17" s="175">
        <f t="shared" ref="P17:Q17" si="4">MAX(P9:P15)</f>
        <v>31.444991435076663</v>
      </c>
      <c r="Q17" s="175">
        <f t="shared" si="4"/>
        <v>54.479245992942033</v>
      </c>
    </row>
    <row r="18" spans="2:17" x14ac:dyDescent="0.3">
      <c r="B18" s="52" t="s">
        <v>716</v>
      </c>
      <c r="C18" s="52"/>
      <c r="D18" s="52"/>
      <c r="E18" s="52"/>
      <c r="F18" s="52"/>
      <c r="G18" s="52"/>
      <c r="H18" s="52"/>
      <c r="I18" s="52"/>
      <c r="J18" s="52"/>
      <c r="K18" s="52"/>
      <c r="L18" s="52"/>
      <c r="M18" s="52"/>
      <c r="N18" s="52"/>
      <c r="O18" s="175">
        <f>QUARTILE(O9:O15,3)</f>
        <v>4.8919892979228701</v>
      </c>
      <c r="P18" s="175">
        <f t="shared" ref="P18:Q18" si="5">QUARTILE(P9:P15,3)</f>
        <v>24.93903461180475</v>
      </c>
      <c r="Q18" s="175">
        <f t="shared" si="5"/>
        <v>45.136806375908108</v>
      </c>
    </row>
    <row r="19" spans="2:17" x14ac:dyDescent="0.3">
      <c r="B19" s="183" t="s">
        <v>192</v>
      </c>
      <c r="C19" s="183"/>
      <c r="D19" s="183"/>
      <c r="E19" s="183"/>
      <c r="F19" s="183"/>
      <c r="G19" s="183"/>
      <c r="H19" s="183"/>
      <c r="I19" s="183"/>
      <c r="J19" s="183"/>
      <c r="K19" s="183"/>
      <c r="L19" s="183"/>
      <c r="M19" s="183"/>
      <c r="N19" s="183"/>
      <c r="O19" s="184">
        <f>AVERAGE(O9:O15)</f>
        <v>3.9618952763801074</v>
      </c>
      <c r="P19" s="184">
        <f t="shared" ref="P19:Q19" si="6">AVERAGE(P9:P15)</f>
        <v>15.627702700480926</v>
      </c>
      <c r="Q19" s="184">
        <f t="shared" si="6"/>
        <v>29.454543731723675</v>
      </c>
    </row>
    <row r="20" spans="2:17" x14ac:dyDescent="0.3">
      <c r="B20" s="183" t="s">
        <v>142</v>
      </c>
      <c r="C20" s="183"/>
      <c r="D20" s="183"/>
      <c r="E20" s="183"/>
      <c r="F20" s="183"/>
      <c r="G20" s="183"/>
      <c r="H20" s="183"/>
      <c r="I20" s="183"/>
      <c r="J20" s="183"/>
      <c r="K20" s="183"/>
      <c r="L20" s="183"/>
      <c r="M20" s="183"/>
      <c r="N20" s="183"/>
      <c r="O20" s="184">
        <f>MEDIAN(O9:O15)</f>
        <v>3.9794199019637322</v>
      </c>
      <c r="P20" s="184">
        <f t="shared" ref="P20:Q20" si="7">MEDIAN(P9:P15)</f>
        <v>21.224674316366684</v>
      </c>
      <c r="Q20" s="184">
        <f t="shared" si="7"/>
        <v>35.617539149888145</v>
      </c>
    </row>
    <row r="21" spans="2:17" x14ac:dyDescent="0.3">
      <c r="B21" s="52" t="s">
        <v>717</v>
      </c>
      <c r="C21" s="52"/>
      <c r="D21" s="52"/>
      <c r="E21" s="52"/>
      <c r="F21" s="52"/>
      <c r="G21" s="52"/>
      <c r="H21" s="52"/>
      <c r="I21" s="52"/>
      <c r="J21" s="52"/>
      <c r="K21" s="52"/>
      <c r="L21" s="52"/>
      <c r="M21" s="52"/>
      <c r="N21" s="52"/>
      <c r="O21" s="175">
        <f>QUARTILE(O9:O15,1)</f>
        <v>2.8163566602508321</v>
      </c>
      <c r="P21" s="175">
        <f t="shared" ref="P21:Q21" si="8">QUARTILE(P9:P15,1)</f>
        <v>15.402541631903286</v>
      </c>
      <c r="Q21" s="175">
        <f t="shared" si="8"/>
        <v>17.202175245349395</v>
      </c>
    </row>
    <row r="22" spans="2:17" x14ac:dyDescent="0.3">
      <c r="B22" s="52" t="s">
        <v>718</v>
      </c>
      <c r="C22" s="52"/>
      <c r="D22" s="52"/>
      <c r="E22" s="52"/>
      <c r="F22" s="52"/>
      <c r="G22" s="52"/>
      <c r="H22" s="52"/>
      <c r="I22" s="52"/>
      <c r="J22" s="52"/>
      <c r="K22" s="52"/>
      <c r="L22" s="52"/>
      <c r="M22" s="52"/>
      <c r="N22" s="52"/>
      <c r="O22" s="175">
        <f>MIN(O9:O15)</f>
        <v>1.1739860674391536</v>
      </c>
      <c r="P22" s="175">
        <f t="shared" ref="P22:Q22" si="9">MIN(P9:P15)</f>
        <v>-23.958899335492926</v>
      </c>
      <c r="Q22" s="175">
        <f t="shared" si="9"/>
        <v>-8.5929422632794452</v>
      </c>
    </row>
    <row r="24" spans="2:17" x14ac:dyDescent="0.3">
      <c r="B24" s="49" t="s">
        <v>719</v>
      </c>
      <c r="C24" s="49"/>
      <c r="D24" s="49"/>
      <c r="E24" s="49"/>
      <c r="F24" s="49"/>
      <c r="G24" s="49"/>
      <c r="H24" s="49"/>
      <c r="I24" s="49"/>
      <c r="J24" s="49"/>
      <c r="K24" s="49"/>
      <c r="L24" s="49"/>
      <c r="M24" s="49"/>
      <c r="N24" s="49"/>
      <c r="O24" s="174" t="s">
        <v>712</v>
      </c>
      <c r="P24" s="174" t="s">
        <v>713</v>
      </c>
      <c r="Q24" s="174" t="s">
        <v>714</v>
      </c>
    </row>
    <row r="25" spans="2:17" ht="3.6" customHeight="1" x14ac:dyDescent="0.3"/>
    <row r="26" spans="2:17" x14ac:dyDescent="0.3">
      <c r="B26" s="180" t="s">
        <v>720</v>
      </c>
      <c r="C26" s="180"/>
      <c r="D26" s="180"/>
      <c r="E26" s="180"/>
      <c r="F26" s="180"/>
      <c r="G26" s="180"/>
      <c r="H26" s="180"/>
      <c r="I26" s="180"/>
      <c r="J26" s="180"/>
      <c r="K26" s="180"/>
      <c r="L26" s="180"/>
      <c r="M26" s="180"/>
      <c r="N26" s="180"/>
      <c r="O26" s="190">
        <f>O20*K9</f>
        <v>147982.40933493216</v>
      </c>
      <c r="P26" s="190">
        <f>P20*L9</f>
        <v>179798.09290560478</v>
      </c>
      <c r="Q26" s="190">
        <f>Q28+Q27</f>
        <v>175140.49244653244</v>
      </c>
    </row>
    <row r="27" spans="2:17" x14ac:dyDescent="0.3">
      <c r="B27" s="180" t="s">
        <v>691</v>
      </c>
      <c r="C27" s="180"/>
      <c r="D27" s="180"/>
      <c r="E27" s="180"/>
      <c r="F27" s="180"/>
      <c r="G27" s="180"/>
      <c r="H27" s="180"/>
      <c r="I27" s="180"/>
      <c r="J27" s="180"/>
      <c r="K27" s="180"/>
      <c r="L27" s="180"/>
      <c r="M27" s="180"/>
      <c r="N27" s="180"/>
      <c r="O27" s="190">
        <f>$G$9</f>
        <v>2855.25</v>
      </c>
      <c r="P27" s="190">
        <f t="shared" ref="P27:Q27" si="10">$G$9</f>
        <v>2855.25</v>
      </c>
      <c r="Q27" s="190">
        <f t="shared" si="10"/>
        <v>2855.25</v>
      </c>
    </row>
    <row r="28" spans="2:17" x14ac:dyDescent="0.3">
      <c r="B28" s="180" t="s">
        <v>721</v>
      </c>
      <c r="C28" s="180"/>
      <c r="D28" s="180"/>
      <c r="E28" s="180"/>
      <c r="F28" s="180"/>
      <c r="G28" s="180"/>
      <c r="H28" s="180"/>
      <c r="I28" s="180"/>
      <c r="J28" s="180"/>
      <c r="K28" s="180"/>
      <c r="L28" s="180"/>
      <c r="M28" s="180"/>
      <c r="N28" s="180"/>
      <c r="O28" s="190">
        <f>O26-O27</f>
        <v>145127.15933493216</v>
      </c>
      <c r="P28" s="190">
        <f t="shared" ref="P28" si="11">P26-P27</f>
        <v>176942.84290560478</v>
      </c>
      <c r="Q28" s="190">
        <f>Q20*M9</f>
        <v>172285.24244653244</v>
      </c>
    </row>
    <row r="29" spans="2:17" x14ac:dyDescent="0.3">
      <c r="B29" s="180" t="s">
        <v>722</v>
      </c>
      <c r="C29" s="180"/>
      <c r="D29" s="180"/>
      <c r="E29" s="180"/>
      <c r="F29" s="180"/>
      <c r="G29" s="180"/>
      <c r="H29" s="180"/>
      <c r="I29" s="180"/>
      <c r="J29" s="180"/>
      <c r="K29" s="180"/>
      <c r="L29" s="180"/>
      <c r="M29" s="180"/>
      <c r="N29" s="180"/>
      <c r="O29" s="190">
        <f>$E$9</f>
        <v>95.92</v>
      </c>
      <c r="P29" s="190">
        <f t="shared" ref="P29:Q29" si="12">$E$9</f>
        <v>95.92</v>
      </c>
      <c r="Q29" s="190">
        <f t="shared" si="12"/>
        <v>95.92</v>
      </c>
    </row>
    <row r="30" spans="2:17" ht="3" customHeight="1" x14ac:dyDescent="0.3"/>
    <row r="31" spans="2:17" x14ac:dyDescent="0.3">
      <c r="B31" s="188" t="s">
        <v>723</v>
      </c>
      <c r="C31" s="188"/>
      <c r="D31" s="188"/>
      <c r="E31" s="188"/>
      <c r="F31" s="188"/>
      <c r="G31" s="188"/>
      <c r="H31" s="188"/>
      <c r="I31" s="188"/>
      <c r="J31" s="188"/>
      <c r="K31" s="188"/>
      <c r="L31" s="188"/>
      <c r="M31" s="188"/>
      <c r="N31" s="188"/>
      <c r="O31" s="189">
        <f>O28/O29</f>
        <v>1513.0020781373244</v>
      </c>
      <c r="P31" s="189">
        <f>P28/P29</f>
        <v>1844.6918568140613</v>
      </c>
      <c r="Q31" s="189">
        <f>Q28/Q29</f>
        <v>1796.1347210856177</v>
      </c>
    </row>
    <row r="32" spans="2:17" ht="3.6" customHeight="1" thickBot="1" x14ac:dyDescent="0.35"/>
    <row r="33" spans="2:17" ht="15" thickBot="1" x14ac:dyDescent="0.35">
      <c r="B33" s="191" t="s">
        <v>724</v>
      </c>
      <c r="O33" s="27" t="str">
        <f>IF(O31&gt;$D$9,"Undervalued","Overvalued")</f>
        <v>Overvalued</v>
      </c>
      <c r="P33" s="27" t="str">
        <f t="shared" ref="P33:Q33" si="13">IF(P31&gt;$D$9,"Undervalued","Overvalued")</f>
        <v>Overvalued</v>
      </c>
      <c r="Q33" s="27" t="str">
        <f t="shared" si="13"/>
        <v>Overvalued</v>
      </c>
    </row>
  </sheetData>
  <mergeCells count="4">
    <mergeCell ref="D6:I6"/>
    <mergeCell ref="K6:M6"/>
    <mergeCell ref="O6:Q6"/>
    <mergeCell ref="B2:Q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BDD9C-5E50-48EB-A982-2E973E0CB6B2}">
  <sheetPr>
    <tabColor theme="8" tint="-0.499984740745262"/>
  </sheetPr>
  <dimension ref="A1"/>
  <sheetViews>
    <sheetView showGridLines="0" workbookViewId="0">
      <selection activeCell="I17" sqref="I17"/>
    </sheetView>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D6A8-FF1A-420D-977E-9652BA99A3DB}">
  <dimension ref="A1:AA93"/>
  <sheetViews>
    <sheetView topLeftCell="D4" zoomScale="78" workbookViewId="0">
      <selection activeCell="W21" sqref="W21"/>
    </sheetView>
  </sheetViews>
  <sheetFormatPr defaultColWidth="8.77734375" defaultRowHeight="14.4" x14ac:dyDescent="0.3"/>
  <cols>
    <col min="1" max="1" width="27.6640625" style="6" bestFit="1" customWidth="1"/>
    <col min="2" max="11" width="13.44140625" style="6" bestFit="1" customWidth="1"/>
    <col min="12" max="15" width="9.88671875" style="6" bestFit="1" customWidth="1"/>
    <col min="16" max="16384" width="8.77734375" style="6"/>
  </cols>
  <sheetData>
    <row r="1" spans="1:27" s="4" customFormat="1" x14ac:dyDescent="0.3">
      <c r="A1" s="4" t="s">
        <v>47</v>
      </c>
      <c r="B1" s="4" t="s">
        <v>243</v>
      </c>
      <c r="E1" s="286" t="str">
        <f>IF(B2&lt;&gt;B3, "A NEW VERSION OF THE WORKSHEET IS AVAILABLE", "")</f>
        <v/>
      </c>
      <c r="F1" s="286"/>
      <c r="G1" s="286"/>
      <c r="H1" s="286"/>
      <c r="I1" s="286"/>
      <c r="J1" s="286"/>
      <c r="K1" s="286"/>
    </row>
    <row r="2" spans="1:27" x14ac:dyDescent="0.3">
      <c r="A2" s="4" t="s">
        <v>48</v>
      </c>
      <c r="B2" s="6">
        <v>2.1</v>
      </c>
      <c r="E2" s="287" t="s">
        <v>49</v>
      </c>
      <c r="F2" s="287"/>
      <c r="G2" s="287"/>
      <c r="H2" s="287"/>
      <c r="I2" s="287"/>
      <c r="J2" s="287"/>
      <c r="K2" s="287"/>
    </row>
    <row r="3" spans="1:27" x14ac:dyDescent="0.3">
      <c r="A3" s="4" t="s">
        <v>50</v>
      </c>
      <c r="B3" s="6">
        <v>2.1</v>
      </c>
    </row>
    <row r="4" spans="1:27" x14ac:dyDescent="0.3">
      <c r="A4" s="4"/>
    </row>
    <row r="5" spans="1:27" x14ac:dyDescent="0.3">
      <c r="A5" s="4" t="s">
        <v>51</v>
      </c>
    </row>
    <row r="6" spans="1:27" x14ac:dyDescent="0.3">
      <c r="A6" s="6" t="s">
        <v>52</v>
      </c>
      <c r="B6" s="6">
        <f>IF(B9&gt;0, B9/B8, 0)</f>
        <v>95.930465457381032</v>
      </c>
    </row>
    <row r="7" spans="1:27" x14ac:dyDescent="0.3">
      <c r="A7" s="6" t="s">
        <v>53</v>
      </c>
      <c r="B7">
        <v>1</v>
      </c>
    </row>
    <row r="8" spans="1:27" x14ac:dyDescent="0.3">
      <c r="A8" s="6" t="s">
        <v>54</v>
      </c>
      <c r="B8">
        <v>2693.05</v>
      </c>
    </row>
    <row r="9" spans="1:27" x14ac:dyDescent="0.3">
      <c r="A9" s="6" t="s">
        <v>55</v>
      </c>
      <c r="B9">
        <v>258345.54</v>
      </c>
    </row>
    <row r="15" spans="1:27" x14ac:dyDescent="0.3">
      <c r="A15" s="4" t="s">
        <v>56</v>
      </c>
    </row>
    <row r="16" spans="1:27" s="19" customFormat="1" x14ac:dyDescent="0.3">
      <c r="A16" s="18" t="s">
        <v>57</v>
      </c>
      <c r="B16" s="3">
        <v>42825</v>
      </c>
      <c r="C16" s="3">
        <v>43190</v>
      </c>
      <c r="D16" s="3">
        <v>43555</v>
      </c>
      <c r="E16" s="3">
        <v>43921</v>
      </c>
      <c r="F16" s="3">
        <v>44286</v>
      </c>
      <c r="G16" s="3">
        <v>44651</v>
      </c>
      <c r="H16" s="3">
        <v>45016</v>
      </c>
      <c r="I16" s="3">
        <v>45382</v>
      </c>
      <c r="J16" s="3">
        <v>45747</v>
      </c>
      <c r="K16" s="3">
        <v>46112</v>
      </c>
      <c r="R16" s="19">
        <v>-684</v>
      </c>
      <c r="S16" s="19">
        <v>-1426</v>
      </c>
      <c r="T16" s="19">
        <v>-1151</v>
      </c>
      <c r="U16" s="19">
        <v>-414</v>
      </c>
      <c r="V16" s="19">
        <v>-289</v>
      </c>
      <c r="W16" s="19">
        <v>-551</v>
      </c>
      <c r="X16" s="19">
        <v>-1446</v>
      </c>
      <c r="Y16" s="19">
        <v>-2496</v>
      </c>
      <c r="Z16" s="19">
        <v>-1830</v>
      </c>
      <c r="AA16" s="19">
        <v>-1487</v>
      </c>
    </row>
    <row r="17" spans="1:27" s="5" customFormat="1" x14ac:dyDescent="0.3">
      <c r="A17" s="5" t="s">
        <v>10</v>
      </c>
      <c r="B17">
        <v>15061.99</v>
      </c>
      <c r="C17">
        <v>16824.55</v>
      </c>
      <c r="D17">
        <v>19240.13</v>
      </c>
      <c r="E17">
        <v>20211.25</v>
      </c>
      <c r="F17">
        <v>21712.79</v>
      </c>
      <c r="G17">
        <v>29101.279999999999</v>
      </c>
      <c r="H17">
        <v>34488.589999999997</v>
      </c>
      <c r="I17">
        <v>35494.730000000003</v>
      </c>
      <c r="J17">
        <v>33905.620000000003</v>
      </c>
      <c r="K17">
        <v>35583.54</v>
      </c>
      <c r="R17" s="5">
        <v>15061.99</v>
      </c>
      <c r="S17" s="5">
        <v>16824.55</v>
      </c>
      <c r="T17" s="5">
        <v>19240.13</v>
      </c>
      <c r="U17" s="5">
        <v>20211.25</v>
      </c>
      <c r="V17" s="5">
        <v>21712.79</v>
      </c>
      <c r="W17" s="5">
        <v>29101.279999999999</v>
      </c>
      <c r="X17" s="5">
        <v>34488.589999999997</v>
      </c>
      <c r="Y17" s="5">
        <v>35494.730000000003</v>
      </c>
      <c r="Z17" s="5">
        <v>33905.620000000003</v>
      </c>
      <c r="AA17" s="5">
        <v>35583.54</v>
      </c>
    </row>
    <row r="18" spans="1:27" s="5" customFormat="1" x14ac:dyDescent="0.3">
      <c r="A18" s="6" t="s">
        <v>58</v>
      </c>
      <c r="B18">
        <v>7452.6</v>
      </c>
      <c r="C18">
        <v>8128.17</v>
      </c>
      <c r="D18">
        <v>9974.4</v>
      </c>
      <c r="E18">
        <v>9981.99</v>
      </c>
      <c r="F18">
        <v>10425.549999999999</v>
      </c>
      <c r="G18">
        <v>17123.25</v>
      </c>
      <c r="H18">
        <v>18985.53</v>
      </c>
      <c r="I18">
        <v>17410.84</v>
      </c>
      <c r="J18">
        <v>17504.509999999998</v>
      </c>
      <c r="K18">
        <v>17142.009999999998</v>
      </c>
      <c r="R18" s="220">
        <f>R16/R17</f>
        <v>-4.5412325994108348E-2</v>
      </c>
      <c r="S18" s="220">
        <f t="shared" ref="S18:AA18" si="0">S16/S17</f>
        <v>-8.4757096029314305E-2</v>
      </c>
      <c r="T18" s="220">
        <f t="shared" si="0"/>
        <v>-5.9822880614632021E-2</v>
      </c>
      <c r="U18" s="220">
        <f t="shared" si="0"/>
        <v>-2.0483641536273117E-2</v>
      </c>
      <c r="V18" s="220">
        <f t="shared" si="0"/>
        <v>-1.3310127348903572E-2</v>
      </c>
      <c r="W18" s="220">
        <f t="shared" si="0"/>
        <v>-1.8933875073536284E-2</v>
      </c>
      <c r="X18" s="220">
        <f t="shared" si="0"/>
        <v>-4.1926909740293825E-2</v>
      </c>
      <c r="Y18" s="220">
        <f t="shared" si="0"/>
        <v>-7.0320298252726524E-2</v>
      </c>
      <c r="Z18" s="220">
        <f t="shared" si="0"/>
        <v>-5.3973353090136678E-2</v>
      </c>
      <c r="AA18" s="220">
        <f t="shared" si="0"/>
        <v>-4.1788984457420478E-2</v>
      </c>
    </row>
    <row r="19" spans="1:27" s="5" customFormat="1" x14ac:dyDescent="0.3">
      <c r="A19" s="6" t="s">
        <v>59</v>
      </c>
      <c r="B19">
        <v>528.6</v>
      </c>
      <c r="C19">
        <v>-142.13</v>
      </c>
      <c r="D19">
        <v>293.26</v>
      </c>
      <c r="E19">
        <v>239.15</v>
      </c>
      <c r="F19">
        <v>92.45</v>
      </c>
      <c r="G19">
        <v>1324.97</v>
      </c>
      <c r="H19">
        <v>309.73</v>
      </c>
      <c r="I19">
        <v>-363.8</v>
      </c>
      <c r="J19">
        <v>205</v>
      </c>
      <c r="K19">
        <v>-603.67999999999995</v>
      </c>
    </row>
    <row r="20" spans="1:27" s="5" customFormat="1" x14ac:dyDescent="0.3">
      <c r="A20" s="6" t="s">
        <v>60</v>
      </c>
      <c r="B20">
        <v>106.02</v>
      </c>
      <c r="C20">
        <v>110.3</v>
      </c>
      <c r="D20">
        <v>119.63</v>
      </c>
      <c r="E20">
        <v>97.79</v>
      </c>
      <c r="F20">
        <v>86.05</v>
      </c>
      <c r="G20">
        <v>117.23</v>
      </c>
      <c r="H20">
        <v>138.29</v>
      </c>
      <c r="I20">
        <v>133.25</v>
      </c>
      <c r="J20">
        <v>148.58000000000001</v>
      </c>
      <c r="K20">
        <v>167.1</v>
      </c>
      <c r="L20" s="5">
        <f>SUM(B18:B21)</f>
        <v>9749.9700000000012</v>
      </c>
      <c r="M20" s="5">
        <f t="shared" ref="M20:O20" si="1">SUM(C18:C21)</f>
        <v>9788.02</v>
      </c>
      <c r="N20" s="5">
        <f t="shared" si="1"/>
        <v>12249.64</v>
      </c>
      <c r="O20" s="5">
        <f t="shared" si="1"/>
        <v>12265.05</v>
      </c>
      <c r="W20" s="221">
        <f>MEDIAN(R18:AA18)</f>
        <v>-4.3669617867201083E-2</v>
      </c>
    </row>
    <row r="21" spans="1:27" s="5" customFormat="1" x14ac:dyDescent="0.3">
      <c r="A21" s="6" t="s">
        <v>61</v>
      </c>
      <c r="B21">
        <v>1662.75</v>
      </c>
      <c r="C21">
        <v>1691.68</v>
      </c>
      <c r="D21">
        <v>1862.35</v>
      </c>
      <c r="E21">
        <v>1946.12</v>
      </c>
      <c r="F21">
        <v>2068.31</v>
      </c>
      <c r="G21">
        <v>2880.45</v>
      </c>
      <c r="H21">
        <v>2916.2</v>
      </c>
      <c r="I21">
        <v>2767.18</v>
      </c>
      <c r="J21">
        <v>2687.4</v>
      </c>
      <c r="K21">
        <v>2767.11</v>
      </c>
    </row>
    <row r="22" spans="1:27" s="5" customFormat="1" x14ac:dyDescent="0.3">
      <c r="A22" s="6" t="s">
        <v>62</v>
      </c>
      <c r="B22">
        <v>1039.8900000000001</v>
      </c>
      <c r="C22">
        <v>1121.8900000000001</v>
      </c>
      <c r="D22">
        <v>1242.69</v>
      </c>
      <c r="E22">
        <v>1371.27</v>
      </c>
      <c r="F22">
        <v>1547.61</v>
      </c>
      <c r="G22">
        <v>1794.61</v>
      </c>
      <c r="H22">
        <v>2036.41</v>
      </c>
      <c r="I22">
        <v>2334.92</v>
      </c>
      <c r="J22">
        <v>2605.7800000000002</v>
      </c>
      <c r="K22">
        <v>2809.73</v>
      </c>
    </row>
    <row r="23" spans="1:27" s="5" customFormat="1" x14ac:dyDescent="0.3">
      <c r="A23" s="6" t="s">
        <v>63</v>
      </c>
      <c r="B23">
        <v>4364.04</v>
      </c>
      <c r="C23">
        <v>2254.92</v>
      </c>
      <c r="D23">
        <v>2366.87</v>
      </c>
      <c r="E23">
        <v>2311.5100000000002</v>
      </c>
      <c r="F23">
        <v>2245.69</v>
      </c>
      <c r="G23">
        <v>2941.98</v>
      </c>
      <c r="H23">
        <v>3500.84</v>
      </c>
      <c r="I23">
        <v>3811.86</v>
      </c>
      <c r="J23">
        <v>3874.94</v>
      </c>
      <c r="K23">
        <v>4112.07</v>
      </c>
    </row>
    <row r="24" spans="1:27" s="5" customFormat="1" x14ac:dyDescent="0.3">
      <c r="A24" s="6" t="s">
        <v>64</v>
      </c>
      <c r="B24">
        <v>-2028.47</v>
      </c>
      <c r="C24">
        <v>171.45</v>
      </c>
      <c r="D24">
        <v>202.51</v>
      </c>
      <c r="E24">
        <v>579.95000000000005</v>
      </c>
      <c r="F24">
        <v>576.42999999999995</v>
      </c>
      <c r="G24">
        <v>765.12</v>
      </c>
      <c r="H24">
        <v>961.21</v>
      </c>
      <c r="I24">
        <v>1087.9000000000001</v>
      </c>
      <c r="J24">
        <v>1283.2</v>
      </c>
      <c r="K24">
        <v>1282.1099999999999</v>
      </c>
    </row>
    <row r="25" spans="1:27" s="5" customFormat="1" x14ac:dyDescent="0.3">
      <c r="A25" s="5" t="s">
        <v>6</v>
      </c>
      <c r="B25">
        <v>337.9</v>
      </c>
      <c r="C25">
        <v>336.41</v>
      </c>
      <c r="D25">
        <v>273.77</v>
      </c>
      <c r="E25">
        <v>350.1</v>
      </c>
      <c r="F25">
        <v>331.65</v>
      </c>
      <c r="G25">
        <v>295.88</v>
      </c>
      <c r="H25">
        <v>431.46</v>
      </c>
      <c r="I25">
        <v>820.96</v>
      </c>
      <c r="J25">
        <v>350.22</v>
      </c>
      <c r="K25">
        <v>727.97</v>
      </c>
    </row>
    <row r="26" spans="1:27" s="5" customFormat="1" x14ac:dyDescent="0.3">
      <c r="A26" s="5" t="s">
        <v>4</v>
      </c>
      <c r="B26">
        <v>334.79</v>
      </c>
      <c r="C26">
        <v>360.47</v>
      </c>
      <c r="D26">
        <v>622.14</v>
      </c>
      <c r="E26">
        <v>780.5</v>
      </c>
      <c r="F26">
        <v>791.27</v>
      </c>
      <c r="G26">
        <v>816.36</v>
      </c>
      <c r="H26">
        <v>858.02</v>
      </c>
      <c r="I26">
        <v>853</v>
      </c>
      <c r="J26">
        <v>1026.3399999999999</v>
      </c>
      <c r="K26">
        <v>1228.8499999999999</v>
      </c>
      <c r="N26">
        <v>16824.55</v>
      </c>
      <c r="Q26" s="5">
        <v>334.79</v>
      </c>
      <c r="R26" s="5">
        <v>360.47</v>
      </c>
      <c r="S26" s="5">
        <v>622.14</v>
      </c>
      <c r="T26" s="5">
        <v>780.5</v>
      </c>
      <c r="U26" s="5">
        <v>791.27</v>
      </c>
      <c r="V26" s="5">
        <v>816.36</v>
      </c>
      <c r="W26" s="5">
        <v>858.02</v>
      </c>
      <c r="X26" s="5">
        <v>853</v>
      </c>
      <c r="Y26" s="5">
        <v>1026.3399999999999</v>
      </c>
      <c r="Z26" s="5">
        <v>1228.8499999999999</v>
      </c>
    </row>
    <row r="27" spans="1:27" s="5" customFormat="1" x14ac:dyDescent="0.3">
      <c r="A27" s="5" t="s">
        <v>5</v>
      </c>
      <c r="B27">
        <v>37.33</v>
      </c>
      <c r="C27">
        <v>41.47</v>
      </c>
      <c r="D27">
        <v>110.47</v>
      </c>
      <c r="E27">
        <v>102.33</v>
      </c>
      <c r="F27">
        <v>91.63</v>
      </c>
      <c r="G27">
        <v>95.41</v>
      </c>
      <c r="H27">
        <v>144.44999999999999</v>
      </c>
      <c r="I27">
        <v>205.17</v>
      </c>
      <c r="J27">
        <v>227.02</v>
      </c>
      <c r="K27">
        <v>195.41</v>
      </c>
      <c r="N27">
        <v>8128.17</v>
      </c>
    </row>
    <row r="28" spans="1:27" s="5" customFormat="1" x14ac:dyDescent="0.3">
      <c r="A28" s="5" t="s">
        <v>13</v>
      </c>
      <c r="B28">
        <v>2959.54</v>
      </c>
      <c r="C28">
        <v>3138.48</v>
      </c>
      <c r="D28">
        <v>3306.1</v>
      </c>
      <c r="E28">
        <v>3629.04</v>
      </c>
      <c r="F28">
        <v>4304.3500000000004</v>
      </c>
      <c r="G28">
        <v>4187.72</v>
      </c>
      <c r="H28">
        <v>5688.83</v>
      </c>
      <c r="I28">
        <v>7347.77</v>
      </c>
      <c r="J28">
        <v>5103.07</v>
      </c>
      <c r="K28">
        <v>6003.44</v>
      </c>
      <c r="N28">
        <v>-142.13</v>
      </c>
    </row>
    <row r="29" spans="1:27" s="5" customFormat="1" x14ac:dyDescent="0.3">
      <c r="A29" s="5" t="s">
        <v>14</v>
      </c>
      <c r="B29">
        <v>943.29</v>
      </c>
      <c r="C29">
        <v>1040.96</v>
      </c>
      <c r="D29">
        <v>1098.06</v>
      </c>
      <c r="E29">
        <v>854.85</v>
      </c>
      <c r="F29">
        <v>1097.5999999999999</v>
      </c>
      <c r="G29">
        <v>1102.9100000000001</v>
      </c>
      <c r="H29">
        <v>1493.5</v>
      </c>
      <c r="I29">
        <v>1790.08</v>
      </c>
      <c r="J29">
        <v>1393.36</v>
      </c>
      <c r="K29">
        <v>1608.75</v>
      </c>
      <c r="N29">
        <v>110.3</v>
      </c>
    </row>
    <row r="30" spans="1:27" s="5" customFormat="1" x14ac:dyDescent="0.3">
      <c r="A30" s="5" t="s">
        <v>15</v>
      </c>
      <c r="B30">
        <v>1939.43</v>
      </c>
      <c r="C30">
        <v>2038.93</v>
      </c>
      <c r="D30">
        <v>2155.92</v>
      </c>
      <c r="E30">
        <v>2705.17</v>
      </c>
      <c r="F30">
        <v>3139.29</v>
      </c>
      <c r="G30">
        <v>3030.57</v>
      </c>
      <c r="H30">
        <v>4106.45</v>
      </c>
      <c r="I30">
        <v>5460.23</v>
      </c>
      <c r="J30">
        <v>3667.23</v>
      </c>
      <c r="K30">
        <v>4325.3500000000004</v>
      </c>
      <c r="N30">
        <v>1691.68</v>
      </c>
    </row>
    <row r="31" spans="1:27" s="5" customFormat="1" x14ac:dyDescent="0.3">
      <c r="A31" s="5" t="s">
        <v>65</v>
      </c>
      <c r="B31">
        <v>987.98</v>
      </c>
      <c r="C31">
        <v>834.5</v>
      </c>
      <c r="D31">
        <v>1007.16</v>
      </c>
      <c r="E31">
        <v>1151.04</v>
      </c>
      <c r="F31">
        <v>1712.17</v>
      </c>
      <c r="G31">
        <v>1836.87</v>
      </c>
      <c r="H31">
        <v>2460.35</v>
      </c>
      <c r="I31">
        <v>3194.14</v>
      </c>
      <c r="J31">
        <v>2378.8200000000002</v>
      </c>
      <c r="K31">
        <v>2637.8</v>
      </c>
      <c r="N31">
        <v>1121.8900000000001</v>
      </c>
    </row>
    <row r="32" spans="1:27" s="5" customFormat="1" x14ac:dyDescent="0.3">
      <c r="N32">
        <v>2254.92</v>
      </c>
    </row>
    <row r="33" spans="1:14" x14ac:dyDescent="0.3">
      <c r="A33" s="5"/>
      <c r="B33"/>
      <c r="C33"/>
      <c r="D33"/>
      <c r="E33"/>
      <c r="F33"/>
      <c r="G33"/>
      <c r="H33"/>
      <c r="I33"/>
      <c r="J33"/>
      <c r="K33"/>
      <c r="N33">
        <v>171.45</v>
      </c>
    </row>
    <row r="34" spans="1:14" x14ac:dyDescent="0.3">
      <c r="A34" s="5"/>
      <c r="B34"/>
      <c r="C34" s="50">
        <f>C24/C17</f>
        <v>1.0190465718251008E-2</v>
      </c>
      <c r="D34" s="50">
        <f t="shared" ref="D34:K34" si="2">D24/D17</f>
        <v>1.0525396657922789E-2</v>
      </c>
      <c r="E34" s="50">
        <f t="shared" si="2"/>
        <v>2.8694415239037666E-2</v>
      </c>
      <c r="F34" s="50">
        <f t="shared" si="2"/>
        <v>2.6547947085565692E-2</v>
      </c>
      <c r="G34" s="50">
        <f t="shared" si="2"/>
        <v>2.6291627034962038E-2</v>
      </c>
      <c r="H34" s="50">
        <f t="shared" si="2"/>
        <v>2.7870376840572496E-2</v>
      </c>
      <c r="I34" s="50">
        <f t="shared" si="2"/>
        <v>3.0649620380264902E-2</v>
      </c>
      <c r="J34" s="50">
        <f t="shared" si="2"/>
        <v>3.784623316134611E-2</v>
      </c>
      <c r="K34" s="50">
        <f t="shared" si="2"/>
        <v>3.6030985112779669E-2</v>
      </c>
      <c r="N34">
        <v>360.47</v>
      </c>
    </row>
    <row r="35" spans="1:14" x14ac:dyDescent="0.3">
      <c r="A35" s="5"/>
      <c r="N35">
        <v>41.47</v>
      </c>
    </row>
    <row r="36" spans="1:14" x14ac:dyDescent="0.3">
      <c r="A36" s="5"/>
      <c r="B36"/>
      <c r="C36"/>
      <c r="D36"/>
      <c r="E36"/>
      <c r="F36"/>
      <c r="G36"/>
      <c r="H36"/>
      <c r="I36"/>
      <c r="J36"/>
      <c r="K36"/>
      <c r="N36" s="6">
        <f>N26-SUM(N27:N35)</f>
        <v>3086.33</v>
      </c>
    </row>
    <row r="37" spans="1:14" x14ac:dyDescent="0.3">
      <c r="A37" s="5"/>
      <c r="B37"/>
      <c r="C37"/>
      <c r="D37"/>
      <c r="E37"/>
      <c r="F37"/>
      <c r="G37"/>
      <c r="H37"/>
      <c r="I37"/>
      <c r="J37"/>
      <c r="K37"/>
      <c r="N37" s="6">
        <f>N36-C29</f>
        <v>2045.37</v>
      </c>
    </row>
    <row r="38" spans="1:14" x14ac:dyDescent="0.3">
      <c r="A38" s="5"/>
      <c r="B38"/>
      <c r="C38"/>
      <c r="D38"/>
      <c r="E38"/>
      <c r="F38"/>
      <c r="G38"/>
      <c r="H38"/>
      <c r="I38"/>
      <c r="J38"/>
      <c r="K38"/>
    </row>
    <row r="39" spans="1:14" x14ac:dyDescent="0.3">
      <c r="A39" s="5"/>
    </row>
    <row r="40" spans="1:14" x14ac:dyDescent="0.3">
      <c r="A40" s="4" t="s">
        <v>66</v>
      </c>
    </row>
    <row r="41" spans="1:14" s="19" customFormat="1" x14ac:dyDescent="0.3">
      <c r="A41" s="18" t="s">
        <v>57</v>
      </c>
      <c r="B41" s="3">
        <v>45291</v>
      </c>
      <c r="C41" s="3">
        <v>45382</v>
      </c>
      <c r="D41" s="3">
        <v>45473</v>
      </c>
      <c r="E41" s="3">
        <v>45565</v>
      </c>
      <c r="F41" s="3">
        <v>45657</v>
      </c>
      <c r="G41" s="3">
        <v>45747</v>
      </c>
      <c r="H41" s="3">
        <v>45838</v>
      </c>
      <c r="I41" s="3">
        <v>45930</v>
      </c>
      <c r="J41" s="3">
        <v>46022</v>
      </c>
      <c r="K41" s="3">
        <v>46112</v>
      </c>
    </row>
    <row r="42" spans="1:14" s="5" customFormat="1" x14ac:dyDescent="0.3">
      <c r="A42" s="5" t="s">
        <v>10</v>
      </c>
      <c r="B42">
        <v>9103.09</v>
      </c>
      <c r="C42">
        <v>8730.76</v>
      </c>
      <c r="D42">
        <v>8969.73</v>
      </c>
      <c r="E42">
        <v>8027.54</v>
      </c>
      <c r="F42">
        <v>8549.44</v>
      </c>
      <c r="G42">
        <v>8358.91</v>
      </c>
      <c r="H42">
        <v>8938.5499999999993</v>
      </c>
      <c r="I42">
        <v>8531.27</v>
      </c>
      <c r="J42">
        <v>8867.02</v>
      </c>
      <c r="K42">
        <v>9246.7000000000007</v>
      </c>
    </row>
    <row r="43" spans="1:14" s="5" customFormat="1" x14ac:dyDescent="0.3">
      <c r="A43" s="5" t="s">
        <v>11</v>
      </c>
      <c r="B43">
        <v>7047</v>
      </c>
      <c r="C43">
        <v>7039.39</v>
      </c>
      <c r="D43">
        <v>7275.96</v>
      </c>
      <c r="E43">
        <v>6788.03</v>
      </c>
      <c r="F43">
        <v>6912.71</v>
      </c>
      <c r="G43">
        <v>6922.71</v>
      </c>
      <c r="H43">
        <v>7313.58</v>
      </c>
      <c r="I43">
        <v>7027.89</v>
      </c>
      <c r="J43">
        <v>7086.06</v>
      </c>
      <c r="K43">
        <v>7460.09</v>
      </c>
    </row>
    <row r="44" spans="1:14" s="5" customFormat="1" x14ac:dyDescent="0.3">
      <c r="A44" s="5" t="s">
        <v>6</v>
      </c>
      <c r="B44">
        <v>186.46</v>
      </c>
      <c r="C44">
        <v>212.43</v>
      </c>
      <c r="D44">
        <v>192.93</v>
      </c>
      <c r="E44">
        <v>24.53</v>
      </c>
      <c r="F44">
        <v>192.82</v>
      </c>
      <c r="G44">
        <v>-60.06</v>
      </c>
      <c r="H44">
        <v>229.11</v>
      </c>
      <c r="I44">
        <v>236.94</v>
      </c>
      <c r="J44">
        <v>69.14</v>
      </c>
      <c r="K44">
        <v>196.59</v>
      </c>
    </row>
    <row r="45" spans="1:14" s="5" customFormat="1" x14ac:dyDescent="0.3">
      <c r="A45" s="5" t="s">
        <v>4</v>
      </c>
      <c r="B45">
        <v>220.35</v>
      </c>
      <c r="C45">
        <v>225.61</v>
      </c>
      <c r="D45">
        <v>227.7</v>
      </c>
      <c r="E45">
        <v>241.99</v>
      </c>
      <c r="F45">
        <v>255.55</v>
      </c>
      <c r="G45">
        <v>301.10000000000002</v>
      </c>
      <c r="H45">
        <v>300.87</v>
      </c>
      <c r="I45">
        <v>304.93</v>
      </c>
      <c r="J45">
        <v>313.07</v>
      </c>
      <c r="K45">
        <v>309.98</v>
      </c>
    </row>
    <row r="46" spans="1:14" s="5" customFormat="1" x14ac:dyDescent="0.3">
      <c r="A46" s="5" t="s">
        <v>5</v>
      </c>
      <c r="B46">
        <v>54.42</v>
      </c>
      <c r="C46">
        <v>54.1</v>
      </c>
      <c r="D46">
        <v>55.38</v>
      </c>
      <c r="E46">
        <v>63.01</v>
      </c>
      <c r="F46">
        <v>55.84</v>
      </c>
      <c r="G46">
        <v>52.79</v>
      </c>
      <c r="H46">
        <v>44.5</v>
      </c>
      <c r="I46">
        <v>43.87</v>
      </c>
      <c r="J46">
        <v>47.94</v>
      </c>
      <c r="K46">
        <v>59.1</v>
      </c>
    </row>
    <row r="47" spans="1:14" s="5" customFormat="1" x14ac:dyDescent="0.3">
      <c r="A47" s="5" t="s">
        <v>13</v>
      </c>
      <c r="B47">
        <v>1967.78</v>
      </c>
      <c r="C47">
        <v>1624.09</v>
      </c>
      <c r="D47">
        <v>1603.62</v>
      </c>
      <c r="E47">
        <v>959.04</v>
      </c>
      <c r="F47">
        <v>1518.16</v>
      </c>
      <c r="G47">
        <v>1022.25</v>
      </c>
      <c r="H47">
        <v>1508.71</v>
      </c>
      <c r="I47">
        <v>1391.52</v>
      </c>
      <c r="J47">
        <v>1489.09</v>
      </c>
      <c r="K47">
        <v>1614.12</v>
      </c>
    </row>
    <row r="48" spans="1:14" s="5" customFormat="1" x14ac:dyDescent="0.3">
      <c r="A48" s="5" t="s">
        <v>14</v>
      </c>
      <c r="B48">
        <v>492.62</v>
      </c>
      <c r="C48">
        <v>348.79</v>
      </c>
      <c r="D48">
        <v>416.83</v>
      </c>
      <c r="E48">
        <v>265.38</v>
      </c>
      <c r="F48">
        <v>389.73</v>
      </c>
      <c r="G48">
        <v>321.42</v>
      </c>
      <c r="H48">
        <v>391.66</v>
      </c>
      <c r="I48">
        <v>373.29</v>
      </c>
      <c r="J48">
        <v>415.17</v>
      </c>
      <c r="K48">
        <v>428.63</v>
      </c>
    </row>
    <row r="49" spans="1:11" s="5" customFormat="1" x14ac:dyDescent="0.3">
      <c r="A49" s="5" t="s">
        <v>15</v>
      </c>
      <c r="B49">
        <v>1447.72</v>
      </c>
      <c r="C49">
        <v>1256.72</v>
      </c>
      <c r="D49">
        <v>1169.98</v>
      </c>
      <c r="E49">
        <v>694.64</v>
      </c>
      <c r="F49">
        <v>1110.48</v>
      </c>
      <c r="G49">
        <v>692.13</v>
      </c>
      <c r="H49">
        <v>1099.77</v>
      </c>
      <c r="I49">
        <v>993.59</v>
      </c>
      <c r="J49">
        <v>1059.8699999999999</v>
      </c>
      <c r="K49">
        <v>1172.1199999999999</v>
      </c>
    </row>
    <row r="50" spans="1:11" x14ac:dyDescent="0.3">
      <c r="A50" s="5" t="s">
        <v>12</v>
      </c>
      <c r="B50">
        <v>2056.09</v>
      </c>
      <c r="C50">
        <v>1691.37</v>
      </c>
      <c r="D50">
        <v>1693.77</v>
      </c>
      <c r="E50">
        <v>1239.51</v>
      </c>
      <c r="F50">
        <v>1636.73</v>
      </c>
      <c r="G50">
        <v>1436.2</v>
      </c>
      <c r="H50">
        <v>1624.97</v>
      </c>
      <c r="I50">
        <v>1503.38</v>
      </c>
      <c r="J50">
        <v>1780.96</v>
      </c>
      <c r="K50">
        <v>1786.61</v>
      </c>
    </row>
    <row r="51" spans="1:11" x14ac:dyDescent="0.3">
      <c r="A51" s="5"/>
    </row>
    <row r="52" spans="1:11" x14ac:dyDescent="0.3">
      <c r="A52" s="5"/>
    </row>
    <row r="53" spans="1:11" x14ac:dyDescent="0.3">
      <c r="A53" s="5"/>
    </row>
    <row r="54" spans="1:11" x14ac:dyDescent="0.3">
      <c r="A54" s="5"/>
    </row>
    <row r="55" spans="1:11" x14ac:dyDescent="0.3">
      <c r="A55" s="4" t="s">
        <v>67</v>
      </c>
    </row>
    <row r="56" spans="1:11" s="19" customFormat="1" x14ac:dyDescent="0.3">
      <c r="A56" s="18" t="s">
        <v>57</v>
      </c>
      <c r="B56" s="3">
        <v>42825</v>
      </c>
      <c r="C56" s="3">
        <v>43190</v>
      </c>
      <c r="D56" s="3">
        <v>43555</v>
      </c>
      <c r="E56" s="3">
        <v>43921</v>
      </c>
      <c r="F56" s="3">
        <v>44286</v>
      </c>
      <c r="G56" s="3">
        <v>44651</v>
      </c>
      <c r="H56" s="3">
        <v>45016</v>
      </c>
      <c r="I56" s="3">
        <v>45382</v>
      </c>
      <c r="J56" s="3">
        <v>45747</v>
      </c>
      <c r="K56" s="3">
        <v>46112</v>
      </c>
    </row>
    <row r="57" spans="1:11" x14ac:dyDescent="0.3">
      <c r="A57" s="5" t="s">
        <v>17</v>
      </c>
      <c r="B57">
        <v>95.92</v>
      </c>
      <c r="C57">
        <v>95.92</v>
      </c>
      <c r="D57">
        <v>95.92</v>
      </c>
      <c r="E57">
        <v>95.92</v>
      </c>
      <c r="F57">
        <v>95.92</v>
      </c>
      <c r="G57">
        <v>95.92</v>
      </c>
      <c r="H57">
        <v>95.92</v>
      </c>
      <c r="I57">
        <v>95.92</v>
      </c>
      <c r="J57">
        <v>95.92</v>
      </c>
      <c r="K57">
        <v>95.92</v>
      </c>
    </row>
    <row r="58" spans="1:11" x14ac:dyDescent="0.3">
      <c r="A58" s="5" t="s">
        <v>18</v>
      </c>
      <c r="B58">
        <v>7507.97</v>
      </c>
      <c r="C58">
        <v>8314.31</v>
      </c>
      <c r="D58">
        <v>9374.6299999999992</v>
      </c>
      <c r="E58">
        <v>10034.24</v>
      </c>
      <c r="F58">
        <v>12710.37</v>
      </c>
      <c r="G58">
        <v>13715.64</v>
      </c>
      <c r="H58">
        <v>15896.31</v>
      </c>
      <c r="I58">
        <v>18632.38</v>
      </c>
      <c r="J58">
        <v>19303.89</v>
      </c>
      <c r="K58">
        <v>21275.67</v>
      </c>
    </row>
    <row r="59" spans="1:11" x14ac:dyDescent="0.3">
      <c r="A59" s="5" t="s">
        <v>19</v>
      </c>
      <c r="B59">
        <v>560.34</v>
      </c>
      <c r="C59">
        <v>533.42999999999995</v>
      </c>
      <c r="D59">
        <v>1319.6</v>
      </c>
      <c r="E59">
        <v>1118.5</v>
      </c>
      <c r="F59">
        <v>1093.1199999999999</v>
      </c>
      <c r="G59">
        <v>1586.88</v>
      </c>
      <c r="H59">
        <v>1932.62</v>
      </c>
      <c r="I59">
        <v>2474.38</v>
      </c>
      <c r="J59">
        <v>2290.29</v>
      </c>
      <c r="K59">
        <v>3928.93</v>
      </c>
    </row>
    <row r="60" spans="1:11" x14ac:dyDescent="0.3">
      <c r="A60" s="5" t="s">
        <v>20</v>
      </c>
      <c r="B60">
        <v>4240.96</v>
      </c>
      <c r="C60">
        <v>4819.82</v>
      </c>
      <c r="D60">
        <v>5458.69</v>
      </c>
      <c r="E60">
        <v>4889.3100000000004</v>
      </c>
      <c r="F60">
        <v>6455.93</v>
      </c>
      <c r="G60">
        <v>7559.99</v>
      </c>
      <c r="H60">
        <v>7854.48</v>
      </c>
      <c r="I60">
        <v>8698.09</v>
      </c>
      <c r="J60">
        <v>8665.15</v>
      </c>
      <c r="K60">
        <v>9218.23</v>
      </c>
    </row>
    <row r="61" spans="1:11" s="4" customFormat="1" x14ac:dyDescent="0.3">
      <c r="A61" s="4" t="s">
        <v>8</v>
      </c>
      <c r="B61">
        <v>12405.19</v>
      </c>
      <c r="C61">
        <v>13763.48</v>
      </c>
      <c r="D61">
        <v>16248.84</v>
      </c>
      <c r="E61">
        <v>16137.97</v>
      </c>
      <c r="F61">
        <v>20355.34</v>
      </c>
      <c r="G61">
        <v>22958.43</v>
      </c>
      <c r="H61">
        <v>25779.33</v>
      </c>
      <c r="I61">
        <v>29900.77</v>
      </c>
      <c r="J61">
        <v>30355.25</v>
      </c>
      <c r="K61">
        <v>34518.75</v>
      </c>
    </row>
    <row r="62" spans="1:11" x14ac:dyDescent="0.3">
      <c r="A62" s="5" t="s">
        <v>21</v>
      </c>
      <c r="B62">
        <v>3303.74</v>
      </c>
      <c r="C62">
        <v>3732.24</v>
      </c>
      <c r="D62">
        <v>6496.56</v>
      </c>
      <c r="E62">
        <v>6272.31</v>
      </c>
      <c r="F62">
        <v>5858.52</v>
      </c>
      <c r="G62">
        <v>5519.06</v>
      </c>
      <c r="H62">
        <v>5770.46</v>
      </c>
      <c r="I62">
        <v>7146.62</v>
      </c>
      <c r="J62">
        <v>9220.1</v>
      </c>
      <c r="K62">
        <v>9640.2800000000007</v>
      </c>
    </row>
    <row r="63" spans="1:11" x14ac:dyDescent="0.3">
      <c r="A63" s="5" t="s">
        <v>22</v>
      </c>
      <c r="B63">
        <v>257.54000000000002</v>
      </c>
      <c r="C63">
        <v>1405.11</v>
      </c>
      <c r="D63">
        <v>209.67</v>
      </c>
      <c r="E63">
        <v>140.24</v>
      </c>
      <c r="F63">
        <v>182.98</v>
      </c>
      <c r="G63">
        <v>426.43</v>
      </c>
      <c r="H63">
        <v>1019.59</v>
      </c>
      <c r="I63">
        <v>2698.37</v>
      </c>
      <c r="J63">
        <v>1254.49</v>
      </c>
      <c r="K63">
        <v>1848.67</v>
      </c>
    </row>
    <row r="64" spans="1:11" x14ac:dyDescent="0.3">
      <c r="A64" s="5" t="s">
        <v>23</v>
      </c>
      <c r="B64">
        <v>2651.99</v>
      </c>
      <c r="C64">
        <v>2140.6999999999998</v>
      </c>
      <c r="D64">
        <v>2568.58</v>
      </c>
      <c r="E64">
        <v>2018.85</v>
      </c>
      <c r="F64">
        <v>4736.8</v>
      </c>
      <c r="G64">
        <v>3247.53</v>
      </c>
      <c r="H64">
        <v>4261.71</v>
      </c>
      <c r="I64">
        <v>4587.92</v>
      </c>
      <c r="J64">
        <v>4724.75</v>
      </c>
      <c r="K64">
        <v>7061.74</v>
      </c>
    </row>
    <row r="65" spans="1:13" x14ac:dyDescent="0.3">
      <c r="A65" s="5" t="s">
        <v>24</v>
      </c>
      <c r="B65">
        <v>6191.92</v>
      </c>
      <c r="C65">
        <v>6485.43</v>
      </c>
      <c r="D65">
        <v>6974.03</v>
      </c>
      <c r="E65">
        <v>7706.57</v>
      </c>
      <c r="F65">
        <v>9577.0400000000009</v>
      </c>
      <c r="G65">
        <v>13765.41</v>
      </c>
      <c r="H65">
        <v>14727.57</v>
      </c>
      <c r="I65">
        <v>15467.86</v>
      </c>
      <c r="J65">
        <v>15155.91</v>
      </c>
      <c r="K65">
        <v>15968.06</v>
      </c>
    </row>
    <row r="66" spans="1:13" s="4" customFormat="1" x14ac:dyDescent="0.3">
      <c r="A66" s="4" t="s">
        <v>8</v>
      </c>
      <c r="B66">
        <v>12405.19</v>
      </c>
      <c r="C66">
        <v>13763.48</v>
      </c>
      <c r="D66">
        <v>16248.84</v>
      </c>
      <c r="E66">
        <v>16137.97</v>
      </c>
      <c r="F66">
        <v>20355.34</v>
      </c>
      <c r="G66">
        <v>22958.43</v>
      </c>
      <c r="H66">
        <v>25779.33</v>
      </c>
      <c r="I66">
        <v>29900.77</v>
      </c>
      <c r="J66">
        <v>30355.25</v>
      </c>
      <c r="K66">
        <v>34518.75</v>
      </c>
    </row>
    <row r="67" spans="1:13" s="5" customFormat="1" x14ac:dyDescent="0.3">
      <c r="A67" s="5" t="s">
        <v>68</v>
      </c>
      <c r="B67">
        <v>1446.6</v>
      </c>
      <c r="C67">
        <v>1730.63</v>
      </c>
      <c r="D67">
        <v>1907.33</v>
      </c>
      <c r="E67">
        <v>1795.22</v>
      </c>
      <c r="F67">
        <v>2602.17</v>
      </c>
      <c r="G67">
        <v>3871.44</v>
      </c>
      <c r="H67">
        <v>4636.9399999999996</v>
      </c>
      <c r="I67">
        <v>4889.05</v>
      </c>
      <c r="J67">
        <v>4313.6499999999996</v>
      </c>
      <c r="K67">
        <v>4461.8</v>
      </c>
    </row>
    <row r="68" spans="1:13" x14ac:dyDescent="0.3">
      <c r="A68" s="5" t="s">
        <v>25</v>
      </c>
      <c r="B68">
        <v>2626.94</v>
      </c>
      <c r="C68">
        <v>2658.31</v>
      </c>
      <c r="D68">
        <v>3149.86</v>
      </c>
      <c r="E68">
        <v>3389.81</v>
      </c>
      <c r="F68">
        <v>3798.6</v>
      </c>
      <c r="G68">
        <v>6152.98</v>
      </c>
      <c r="H68">
        <v>6210.64</v>
      </c>
      <c r="I68">
        <v>5923.41</v>
      </c>
      <c r="J68">
        <v>6719.27</v>
      </c>
      <c r="K68">
        <v>5743.69</v>
      </c>
    </row>
    <row r="69" spans="1:13" x14ac:dyDescent="0.3">
      <c r="A69" s="6" t="s">
        <v>69</v>
      </c>
      <c r="B69">
        <v>801.21</v>
      </c>
      <c r="C69">
        <v>404.65</v>
      </c>
      <c r="D69">
        <v>444.88</v>
      </c>
      <c r="E69">
        <v>782.83</v>
      </c>
      <c r="F69">
        <v>610.75</v>
      </c>
      <c r="G69">
        <v>864.33</v>
      </c>
      <c r="H69">
        <v>843.82</v>
      </c>
      <c r="I69">
        <v>1084.01</v>
      </c>
      <c r="J69">
        <v>781.98</v>
      </c>
      <c r="K69">
        <v>1073.68</v>
      </c>
    </row>
    <row r="70" spans="1:13" x14ac:dyDescent="0.3">
      <c r="A70" s="6" t="s">
        <v>46</v>
      </c>
      <c r="B70">
        <v>959197790</v>
      </c>
      <c r="C70">
        <v>959197790</v>
      </c>
      <c r="D70">
        <v>959197790</v>
      </c>
      <c r="E70">
        <v>959197790</v>
      </c>
      <c r="F70">
        <v>959197790</v>
      </c>
      <c r="G70">
        <v>959197790</v>
      </c>
      <c r="H70">
        <v>959197790</v>
      </c>
      <c r="I70">
        <v>959197790</v>
      </c>
      <c r="J70">
        <v>959197790</v>
      </c>
      <c r="K70">
        <v>959197790</v>
      </c>
    </row>
    <row r="71" spans="1:13" x14ac:dyDescent="0.3">
      <c r="A71" s="6" t="s">
        <v>70</v>
      </c>
    </row>
    <row r="72" spans="1:13" x14ac:dyDescent="0.3">
      <c r="A72" s="6" t="s">
        <v>71</v>
      </c>
      <c r="B72">
        <v>1</v>
      </c>
      <c r="C72">
        <v>1</v>
      </c>
      <c r="D72">
        <v>1</v>
      </c>
      <c r="E72">
        <v>1</v>
      </c>
      <c r="F72">
        <v>1</v>
      </c>
      <c r="G72">
        <v>1</v>
      </c>
      <c r="H72">
        <v>1</v>
      </c>
      <c r="I72">
        <v>1</v>
      </c>
      <c r="J72">
        <v>1</v>
      </c>
      <c r="K72">
        <v>1</v>
      </c>
    </row>
    <row r="73" spans="1:13" x14ac:dyDescent="0.3">
      <c r="B73"/>
      <c r="C73"/>
      <c r="D73"/>
      <c r="E73"/>
      <c r="F73"/>
      <c r="G73"/>
      <c r="H73"/>
      <c r="I73"/>
      <c r="J73"/>
      <c r="K73"/>
      <c r="L73"/>
      <c r="M73"/>
    </row>
    <row r="74" spans="1:13" x14ac:dyDescent="0.3">
      <c r="A74" s="5"/>
      <c r="B74" s="162">
        <v>1937</v>
      </c>
      <c r="C74" s="162">
        <v>1750</v>
      </c>
      <c r="D74" s="162">
        <v>1925</v>
      </c>
      <c r="E74" s="162">
        <v>2316</v>
      </c>
      <c r="F74" s="162">
        <v>2690</v>
      </c>
      <c r="G74" s="162">
        <v>2320</v>
      </c>
      <c r="H74" s="162">
        <v>2613</v>
      </c>
      <c r="I74" s="162">
        <v>2932</v>
      </c>
      <c r="J74" s="162">
        <v>3657</v>
      </c>
      <c r="K74" s="162">
        <v>4017</v>
      </c>
      <c r="L74"/>
      <c r="M74"/>
    </row>
    <row r="75" spans="1:13" x14ac:dyDescent="0.3">
      <c r="A75" s="5"/>
      <c r="B75">
        <v>15061.99</v>
      </c>
      <c r="C75">
        <v>16824.55</v>
      </c>
      <c r="D75">
        <v>19240.13</v>
      </c>
      <c r="E75">
        <v>20211.25</v>
      </c>
      <c r="F75">
        <v>21712.79</v>
      </c>
      <c r="G75">
        <v>29101.279999999999</v>
      </c>
      <c r="H75">
        <v>34488.589999999997</v>
      </c>
      <c r="I75">
        <v>35494.730000000003</v>
      </c>
      <c r="J75">
        <v>33905.620000000003</v>
      </c>
      <c r="K75">
        <v>35583.54</v>
      </c>
      <c r="L75"/>
      <c r="M75"/>
    </row>
    <row r="76" spans="1:13" x14ac:dyDescent="0.3">
      <c r="A76" s="5"/>
      <c r="B76" s="164">
        <f>B74/B75</f>
        <v>0.12860186469384191</v>
      </c>
      <c r="C76" s="164">
        <f t="shared" ref="C76:K76" si="3">C74/C75</f>
        <v>0.10401466904018236</v>
      </c>
      <c r="D76" s="164">
        <f t="shared" si="3"/>
        <v>0.10005129902968431</v>
      </c>
      <c r="E76" s="164">
        <f t="shared" si="3"/>
        <v>0.11458964685509308</v>
      </c>
      <c r="F76" s="164">
        <f t="shared" si="3"/>
        <v>0.12389011269394674</v>
      </c>
      <c r="G76" s="164">
        <f t="shared" si="3"/>
        <v>7.9721579256994884E-2</v>
      </c>
      <c r="H76" s="164">
        <f t="shared" si="3"/>
        <v>7.5764187518248802E-2</v>
      </c>
      <c r="I76" s="164">
        <f t="shared" si="3"/>
        <v>8.2603811889821382E-2</v>
      </c>
      <c r="J76" s="164">
        <f t="shared" si="3"/>
        <v>0.10785822527356821</v>
      </c>
      <c r="K76" s="164">
        <f t="shared" si="3"/>
        <v>0.11288927408571491</v>
      </c>
    </row>
    <row r="77" spans="1:13" x14ac:dyDescent="0.3">
      <c r="A77" s="5"/>
    </row>
    <row r="78" spans="1:13" x14ac:dyDescent="0.3">
      <c r="A78" s="5"/>
    </row>
    <row r="79" spans="1:13" x14ac:dyDescent="0.3">
      <c r="A79" s="5"/>
    </row>
    <row r="80" spans="1:13" x14ac:dyDescent="0.3">
      <c r="A80" s="4" t="s">
        <v>72</v>
      </c>
    </row>
    <row r="81" spans="1:11" s="19" customFormat="1" x14ac:dyDescent="0.3">
      <c r="A81" s="18" t="s">
        <v>57</v>
      </c>
      <c r="B81" s="3">
        <v>42825</v>
      </c>
      <c r="C81" s="3">
        <v>43190</v>
      </c>
      <c r="D81" s="3">
        <v>43555</v>
      </c>
      <c r="E81" s="3">
        <v>43921</v>
      </c>
      <c r="F81" s="3">
        <v>44286</v>
      </c>
      <c r="G81" s="3">
        <v>44651</v>
      </c>
      <c r="H81" s="3">
        <v>45016</v>
      </c>
      <c r="I81" s="3">
        <v>45382</v>
      </c>
      <c r="J81" s="3">
        <v>45747</v>
      </c>
      <c r="K81" s="3">
        <v>46112</v>
      </c>
    </row>
    <row r="82" spans="1:11" s="4" customFormat="1" x14ac:dyDescent="0.3">
      <c r="A82" s="5" t="s">
        <v>26</v>
      </c>
      <c r="B82">
        <v>1527.33</v>
      </c>
      <c r="C82">
        <v>2113.44</v>
      </c>
      <c r="D82">
        <v>2469.54</v>
      </c>
      <c r="E82">
        <v>3038.15</v>
      </c>
      <c r="F82">
        <v>3683.35</v>
      </c>
      <c r="G82">
        <v>986.49</v>
      </c>
      <c r="H82">
        <v>4193.43</v>
      </c>
      <c r="I82">
        <v>6103.6</v>
      </c>
      <c r="J82">
        <v>4423.96</v>
      </c>
      <c r="K82">
        <v>7088.18</v>
      </c>
    </row>
    <row r="83" spans="1:11" s="5" customFormat="1" x14ac:dyDescent="0.3">
      <c r="A83" s="5" t="s">
        <v>27</v>
      </c>
      <c r="B83">
        <v>-681.11</v>
      </c>
      <c r="C83">
        <v>-1556.14</v>
      </c>
      <c r="D83">
        <v>-917.79</v>
      </c>
      <c r="E83">
        <v>-517.91</v>
      </c>
      <c r="F83">
        <v>-540.54</v>
      </c>
      <c r="G83">
        <v>-316.75</v>
      </c>
      <c r="H83">
        <v>-1282.3399999999999</v>
      </c>
      <c r="I83">
        <v>-2548.48</v>
      </c>
      <c r="J83">
        <v>-940.91</v>
      </c>
      <c r="K83">
        <v>-1328.23</v>
      </c>
    </row>
    <row r="84" spans="1:11" s="5" customFormat="1" x14ac:dyDescent="0.3">
      <c r="A84" s="5" t="s">
        <v>28</v>
      </c>
      <c r="B84">
        <v>-756.43</v>
      </c>
      <c r="C84">
        <v>-1379.14</v>
      </c>
      <c r="D84">
        <v>-1117.46</v>
      </c>
      <c r="E84">
        <v>-2871.46</v>
      </c>
      <c r="F84">
        <v>-650.4</v>
      </c>
      <c r="G84">
        <v>-1807.61</v>
      </c>
      <c r="H84">
        <v>-2140.0500000000002</v>
      </c>
      <c r="I84">
        <v>-2982.5</v>
      </c>
      <c r="J84">
        <v>-3752.58</v>
      </c>
      <c r="K84">
        <v>-2376.5100000000002</v>
      </c>
    </row>
    <row r="85" spans="1:11" s="4" customFormat="1" x14ac:dyDescent="0.3">
      <c r="A85" s="5" t="s">
        <v>29</v>
      </c>
      <c r="B85">
        <v>89.79</v>
      </c>
      <c r="C85">
        <v>-821.84</v>
      </c>
      <c r="D85">
        <v>434.29</v>
      </c>
      <c r="E85">
        <v>-351.22</v>
      </c>
      <c r="F85">
        <v>2492.41</v>
      </c>
      <c r="G85">
        <v>-1137.8699999999999</v>
      </c>
      <c r="H85">
        <v>771.04</v>
      </c>
      <c r="I85">
        <v>572.62</v>
      </c>
      <c r="J85">
        <v>-269.52999999999997</v>
      </c>
      <c r="K85">
        <v>3383.44</v>
      </c>
    </row>
    <row r="86" spans="1:11" x14ac:dyDescent="0.3">
      <c r="A86" s="5"/>
    </row>
    <row r="87" spans="1:11" x14ac:dyDescent="0.3">
      <c r="A87" s="5"/>
    </row>
    <row r="88" spans="1:11" x14ac:dyDescent="0.3">
      <c r="A88" s="5"/>
    </row>
    <row r="89" spans="1:11" x14ac:dyDescent="0.3">
      <c r="A89" s="5"/>
    </row>
    <row r="90" spans="1:11" s="4" customFormat="1" x14ac:dyDescent="0.3">
      <c r="A90" s="4" t="s">
        <v>43</v>
      </c>
      <c r="B90">
        <v>1073.5</v>
      </c>
      <c r="C90">
        <v>1120.4000000000001</v>
      </c>
      <c r="D90">
        <v>1492.7</v>
      </c>
      <c r="E90">
        <v>1666.5</v>
      </c>
      <c r="F90">
        <v>2537.4</v>
      </c>
      <c r="G90">
        <v>3079.95</v>
      </c>
      <c r="H90">
        <v>2761.65</v>
      </c>
      <c r="I90">
        <v>2846.75</v>
      </c>
      <c r="J90">
        <v>2340.65</v>
      </c>
      <c r="K90">
        <v>2165.1999999999998</v>
      </c>
    </row>
    <row r="92" spans="1:11" s="4" customFormat="1" x14ac:dyDescent="0.3">
      <c r="A92" s="4" t="s">
        <v>44</v>
      </c>
    </row>
    <row r="93" spans="1:11" x14ac:dyDescent="0.3">
      <c r="A93" s="6" t="s">
        <v>45</v>
      </c>
      <c r="B93" s="20">
        <v>95.92</v>
      </c>
      <c r="C93" s="20">
        <v>95.92</v>
      </c>
      <c r="D93" s="20">
        <v>95.92</v>
      </c>
      <c r="E93" s="20">
        <v>95.92</v>
      </c>
      <c r="F93" s="20">
        <v>95.92</v>
      </c>
      <c r="G93" s="20">
        <v>95.92</v>
      </c>
      <c r="H93" s="20">
        <v>95.92</v>
      </c>
      <c r="I93" s="20">
        <v>95.92</v>
      </c>
      <c r="J93" s="20">
        <v>95.92</v>
      </c>
      <c r="K93" s="20">
        <v>95.92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458D415F-FA83-4A2C-AB9F-13AF1A4A9B6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956D5-2386-407F-AB1E-116A337730CD}">
  <dimension ref="B3:AF269"/>
  <sheetViews>
    <sheetView showGridLines="0" topLeftCell="E1" workbookViewId="0">
      <selection activeCell="L20" sqref="L20"/>
    </sheetView>
  </sheetViews>
  <sheetFormatPr defaultRowHeight="14.4" x14ac:dyDescent="0.3"/>
  <cols>
    <col min="1" max="1" width="1.88671875" customWidth="1"/>
    <col min="2" max="2" width="14.33203125" bestFit="1" customWidth="1"/>
    <col min="3" max="3" width="10.33203125" bestFit="1" customWidth="1"/>
    <col min="4" max="4" width="14.21875" customWidth="1"/>
    <col min="6" max="6" width="10.88671875" bestFit="1" customWidth="1"/>
    <col min="7" max="7" width="11.33203125" bestFit="1" customWidth="1"/>
    <col min="8" max="8" width="13.44140625" bestFit="1" customWidth="1"/>
    <col min="14" max="14" width="10.33203125" bestFit="1" customWidth="1"/>
    <col min="16" max="16" width="14.21875" bestFit="1" customWidth="1"/>
    <col min="18" max="18" width="10.33203125" bestFit="1" customWidth="1"/>
    <col min="20" max="20" width="14.21875" bestFit="1" customWidth="1"/>
    <col min="22" max="22" width="10.33203125" bestFit="1" customWidth="1"/>
    <col min="24" max="24" width="14.21875" bestFit="1" customWidth="1"/>
    <col min="26" max="26" width="10.33203125" bestFit="1" customWidth="1"/>
    <col min="28" max="28" width="11.21875" customWidth="1"/>
    <col min="30" max="30" width="10.33203125" bestFit="1" customWidth="1"/>
    <col min="32" max="32" width="14.21875" bestFit="1" customWidth="1"/>
  </cols>
  <sheetData>
    <row r="3" spans="2:32" x14ac:dyDescent="0.3">
      <c r="B3" s="1" t="s">
        <v>181</v>
      </c>
    </row>
    <row r="5" spans="2:32" x14ac:dyDescent="0.3">
      <c r="B5" s="49" t="e" vm="1">
        <v>#VALUE!</v>
      </c>
      <c r="C5" s="49"/>
      <c r="D5" s="49"/>
      <c r="F5" s="281" t="e" vm="2">
        <v>#VALUE!</v>
      </c>
      <c r="G5" s="281"/>
      <c r="H5" s="281"/>
      <c r="J5" s="281" t="s">
        <v>255</v>
      </c>
      <c r="K5" s="281"/>
      <c r="L5" s="281"/>
      <c r="N5" s="49" t="e" vm="3">
        <v>#VALUE!</v>
      </c>
      <c r="O5" s="49"/>
      <c r="P5" s="49"/>
      <c r="R5" s="49" t="e" vm="4">
        <v>#VALUE!</v>
      </c>
      <c r="S5" s="49"/>
      <c r="T5" s="49"/>
      <c r="V5" s="49" t="e" vm="5">
        <v>#VALUE!</v>
      </c>
      <c r="W5" s="49"/>
      <c r="X5" s="49"/>
      <c r="Z5" s="49" t="e" vm="6">
        <v>#VALUE!</v>
      </c>
      <c r="AA5" s="49"/>
      <c r="AB5" s="49"/>
      <c r="AD5" s="281" t="e" vm="7">
        <v>#VALUE!</v>
      </c>
      <c r="AE5" s="281"/>
      <c r="AF5" s="281"/>
    </row>
    <row r="7" spans="2:32" x14ac:dyDescent="0.3">
      <c r="B7" s="106" t="str" cm="1">
        <f t="array" aca="1" ref="B7:C269" ca="1">_xlfn.STOCKHISTORY(B5,"2021-07-22","2026-07-22",1,1,0,1)</f>
        <v>Date</v>
      </c>
      <c r="C7" s="106" t="str">
        <f ca="1"/>
        <v>Close</v>
      </c>
      <c r="D7" s="106" t="s">
        <v>253</v>
      </c>
      <c r="F7" s="106" t="str" cm="1">
        <f t="array" aca="1" ref="F7:G269" ca="1">_xlfn.STOCKHISTORY(F5,"2021-07-22","2026-07-22",1,1,0,1)</f>
        <v>Date</v>
      </c>
      <c r="G7" s="106" t="str">
        <f ca="1"/>
        <v>Close</v>
      </c>
      <c r="H7" s="106" t="s">
        <v>254</v>
      </c>
      <c r="J7" t="s">
        <v>187</v>
      </c>
      <c r="L7" s="55">
        <f ca="1">_xlfn.COVARIANCE.S(D9:D269,H9:H269)/_xlfn.VAR.S(H9:H269)</f>
        <v>0.92190928393127836</v>
      </c>
      <c r="N7" s="106" t="str" cm="1">
        <f t="array" aca="1" ref="N7:O269" ca="1">_xlfn.STOCKHISTORY(N5,"2021-07-22","2026-07-22",1,1,0,1)</f>
        <v>Date</v>
      </c>
      <c r="O7" s="106" t="str">
        <f ca="1"/>
        <v>Close</v>
      </c>
      <c r="P7" s="106" t="s">
        <v>253</v>
      </c>
      <c r="R7" s="106" t="str" cm="1">
        <f t="array" aca="1" ref="R7:S269" ca="1">_xlfn.STOCKHISTORY(R5,"2021-07-22","2026-07-22",1,1,0,1)</f>
        <v>Date</v>
      </c>
      <c r="S7" s="106" t="str">
        <f ca="1"/>
        <v>Close</v>
      </c>
      <c r="T7" s="106" t="s">
        <v>253</v>
      </c>
      <c r="V7" s="106" t="str" cm="1">
        <f t="array" aca="1" ref="V7:W269" ca="1">_xlfn.STOCKHISTORY(V5,"2021-07-22","2026-07-22",1,1,0,1)</f>
        <v>Date</v>
      </c>
      <c r="W7" s="106" t="str">
        <f ca="1"/>
        <v>Close</v>
      </c>
      <c r="X7" s="106" t="s">
        <v>253</v>
      </c>
      <c r="Z7" s="106" t="str" cm="1">
        <f t="array" aca="1" ref="Z7:AA269" ca="1">_xlfn.STOCKHISTORY(Z5,"2021-07-22","2026-07-22",1,1,0,1)</f>
        <v>Date</v>
      </c>
      <c r="AA7" s="106" t="str">
        <f ca="1"/>
        <v>Close</v>
      </c>
      <c r="AB7" s="106" t="s">
        <v>253</v>
      </c>
      <c r="AD7" s="106" t="str" cm="1">
        <f t="array" aca="1" ref="AD7:AE269" ca="1">_xlfn.STOCKHISTORY(AD5,"2021-07-22","2026-07-22",1,1,0,1)</f>
        <v>Date</v>
      </c>
      <c r="AE7" s="106" t="str">
        <f ca="1"/>
        <v>Close</v>
      </c>
      <c r="AF7" s="106" t="s">
        <v>253</v>
      </c>
    </row>
    <row r="8" spans="2:32" x14ac:dyDescent="0.3">
      <c r="B8" s="104" vm="8">
        <f ca="1"/>
        <v>44396</v>
      </c>
      <c r="C8" s="104" vm="9">
        <f ca="1"/>
        <v>3083.75</v>
      </c>
      <c r="D8" s="104"/>
      <c r="F8" s="104" vm="8">
        <f ca="1"/>
        <v>44396</v>
      </c>
      <c r="G8" s="104" vm="10">
        <f ca="1"/>
        <v>15856.05</v>
      </c>
      <c r="H8" s="104"/>
      <c r="J8" t="s">
        <v>182</v>
      </c>
      <c r="L8" s="55">
        <f ca="1">L7</f>
        <v>0.92190928393127836</v>
      </c>
      <c r="N8" s="104" vm="8">
        <f ca="1"/>
        <v>44396</v>
      </c>
      <c r="O8" s="104" vm="11">
        <f ca="1"/>
        <v>413.86790000000002</v>
      </c>
      <c r="P8" s="104"/>
      <c r="R8" s="104" vm="8">
        <f ca="1"/>
        <v>44396</v>
      </c>
      <c r="S8" s="104" vm="12">
        <f ca="1"/>
        <v>711.87220000000002</v>
      </c>
      <c r="T8" s="104"/>
      <c r="V8" s="104" vm="8">
        <f ca="1"/>
        <v>44396</v>
      </c>
      <c r="W8" s="104" vm="13">
        <f ca="1"/>
        <v>2190.8872000000001</v>
      </c>
      <c r="X8" s="104"/>
      <c r="Z8" s="104" vm="8">
        <f ca="1"/>
        <v>44396</v>
      </c>
      <c r="AA8" s="104" vm="14">
        <f ca="1"/>
        <v>2599.6</v>
      </c>
      <c r="AB8" s="104"/>
      <c r="AD8" s="104" vm="8">
        <f ca="1"/>
        <v>44396</v>
      </c>
      <c r="AE8" s="104" vm="15">
        <f ca="1"/>
        <v>173.875</v>
      </c>
      <c r="AF8" s="104"/>
    </row>
    <row r="9" spans="2:32" x14ac:dyDescent="0.3">
      <c r="B9" s="104" vm="16">
        <f ca="1"/>
        <v>44403</v>
      </c>
      <c r="C9" s="104" vm="17">
        <f ca="1"/>
        <v>2958.45</v>
      </c>
      <c r="D9" s="105">
        <f ca="1">C9/C8-1</f>
        <v>-4.0632346980137846E-2</v>
      </c>
      <c r="F9" s="104" vm="16">
        <f ca="1"/>
        <v>44403</v>
      </c>
      <c r="G9" s="104" vm="18">
        <f ca="1"/>
        <v>15763.05</v>
      </c>
      <c r="H9" s="105">
        <f ca="1">G9/G8-1</f>
        <v>-5.8652690928698847E-3</v>
      </c>
      <c r="J9" t="s">
        <v>183</v>
      </c>
      <c r="L9">
        <v>0.75</v>
      </c>
      <c r="N9" s="104" vm="16">
        <f ca="1"/>
        <v>44403</v>
      </c>
      <c r="O9" s="104" vm="19">
        <f ca="1"/>
        <v>415.12790000000001</v>
      </c>
      <c r="P9" s="105">
        <f ca="1">O9/O8-1</f>
        <v>3.0444496903481166E-3</v>
      </c>
      <c r="R9" s="104" vm="16">
        <f ca="1"/>
        <v>44403</v>
      </c>
      <c r="S9" s="104" vm="20">
        <f ca="1"/>
        <v>702.95550000000003</v>
      </c>
      <c r="T9" s="105">
        <f ca="1">S9/S8-1</f>
        <v>-1.2525703349561934E-2</v>
      </c>
      <c r="V9" s="104" vm="16">
        <f ca="1"/>
        <v>44403</v>
      </c>
      <c r="W9" s="104" vm="21">
        <f ca="1"/>
        <v>2174.5191</v>
      </c>
      <c r="X9" s="105">
        <f ca="1">W9/W8-1</f>
        <v>-7.4709916603649118E-3</v>
      </c>
      <c r="Z9" s="104" vm="16">
        <f ca="1"/>
        <v>44403</v>
      </c>
      <c r="AA9" s="104" vm="22">
        <f ca="1"/>
        <v>2605.1</v>
      </c>
      <c r="AB9" s="105">
        <f ca="1">AA9/AA8-1</f>
        <v>2.1157101092474928E-3</v>
      </c>
      <c r="AD9" s="104" vm="16">
        <f ca="1"/>
        <v>44403</v>
      </c>
      <c r="AE9" s="104" vm="23">
        <f ca="1"/>
        <v>169.5</v>
      </c>
      <c r="AF9" s="105">
        <f ca="1">AE9/AE8-1</f>
        <v>-2.5161754133716796E-2</v>
      </c>
    </row>
    <row r="10" spans="2:32" x14ac:dyDescent="0.3">
      <c r="B10" s="104" vm="24">
        <f ca="1"/>
        <v>44410</v>
      </c>
      <c r="C10" s="104" vm="25">
        <f ca="1"/>
        <v>2966.45</v>
      </c>
      <c r="D10" s="105">
        <f t="shared" ref="D10:D73" ca="1" si="0">C10/C9-1</f>
        <v>2.7041187108114428E-3</v>
      </c>
      <c r="F10" s="104" vm="24">
        <f ca="1"/>
        <v>44410</v>
      </c>
      <c r="G10" s="104" vm="26">
        <f ca="1"/>
        <v>16238.2</v>
      </c>
      <c r="H10" s="105">
        <f t="shared" ref="H10:H73" ca="1" si="1">G10/G9-1</f>
        <v>3.0143278109249216E-2</v>
      </c>
      <c r="J10" t="s">
        <v>185</v>
      </c>
      <c r="L10">
        <v>1</v>
      </c>
      <c r="N10" s="104" vm="24">
        <f ca="1"/>
        <v>44410</v>
      </c>
      <c r="O10" s="104" vm="27">
        <f ca="1"/>
        <v>422.12470000000002</v>
      </c>
      <c r="P10" s="105">
        <f t="shared" ref="P10:P73" ca="1" si="2">O10/O9-1</f>
        <v>1.6854564581180842E-2</v>
      </c>
      <c r="R10" s="104" vm="24">
        <f ca="1"/>
        <v>44410</v>
      </c>
      <c r="S10" s="104" vm="28">
        <f ca="1"/>
        <v>689.8306</v>
      </c>
      <c r="T10" s="105">
        <f t="shared" ref="T10:T73" ca="1" si="3">S10/S9-1</f>
        <v>-1.8671025406302388E-2</v>
      </c>
      <c r="V10" s="104" vm="24">
        <f ca="1"/>
        <v>44410</v>
      </c>
      <c r="W10" s="104" vm="29">
        <f ca="1"/>
        <v>2130.2964999999999</v>
      </c>
      <c r="X10" s="105">
        <f t="shared" ref="X10:X73" ca="1" si="4">W10/W9-1</f>
        <v>-2.0336726405392413E-2</v>
      </c>
      <c r="Z10" s="104" vm="24">
        <f ca="1"/>
        <v>44410</v>
      </c>
      <c r="AA10" s="104" vm="30">
        <f ca="1"/>
        <v>2624.4</v>
      </c>
      <c r="AB10" s="105">
        <f t="shared" ref="AB10:AB73" ca="1" si="5">AA10/AA9-1</f>
        <v>7.4085447775518176E-3</v>
      </c>
      <c r="AD10" s="104" vm="24">
        <f ca="1"/>
        <v>44410</v>
      </c>
      <c r="AE10" s="104" vm="31">
        <f ca="1"/>
        <v>174.875</v>
      </c>
      <c r="AF10" s="105">
        <f t="shared" ref="AF10:AF73" ca="1" si="6">AE10/AE9-1</f>
        <v>3.1710914454277317E-2</v>
      </c>
    </row>
    <row r="11" spans="2:32" x14ac:dyDescent="0.3">
      <c r="B11" s="104" vm="32">
        <f ca="1"/>
        <v>44417</v>
      </c>
      <c r="C11" s="104" vm="33">
        <f ca="1"/>
        <v>2988.7</v>
      </c>
      <c r="D11" s="105">
        <f t="shared" ca="1" si="0"/>
        <v>7.5005477928162811E-3</v>
      </c>
      <c r="F11" s="104" vm="32">
        <f ca="1"/>
        <v>44417</v>
      </c>
      <c r="G11" s="104" vm="34">
        <f ca="1"/>
        <v>16529.099999999999</v>
      </c>
      <c r="H11" s="105">
        <f t="shared" ca="1" si="1"/>
        <v>1.7914547178874418E-2</v>
      </c>
      <c r="J11" t="s">
        <v>184</v>
      </c>
      <c r="L11">
        <v>0.25</v>
      </c>
      <c r="N11" s="104" vm="32">
        <f ca="1"/>
        <v>44417</v>
      </c>
      <c r="O11" s="104" vm="35">
        <f ca="1"/>
        <v>416.55380000000002</v>
      </c>
      <c r="P11" s="105">
        <f t="shared" ca="1" si="2"/>
        <v>-1.3197285067658937E-2</v>
      </c>
      <c r="R11" s="104" vm="32">
        <f ca="1"/>
        <v>44417</v>
      </c>
      <c r="S11" s="104" vm="36">
        <f ca="1"/>
        <v>675.9556</v>
      </c>
      <c r="T11" s="105">
        <f t="shared" ca="1" si="3"/>
        <v>-2.0113633694996969E-2</v>
      </c>
      <c r="V11" s="104" vm="32">
        <f ca="1"/>
        <v>44417</v>
      </c>
      <c r="W11" s="104" vm="37">
        <f ca="1"/>
        <v>2123.9310999999998</v>
      </c>
      <c r="X11" s="105">
        <f t="shared" ca="1" si="4"/>
        <v>-2.9880347641748628E-3</v>
      </c>
      <c r="Z11" s="104" vm="32">
        <f ca="1"/>
        <v>44417</v>
      </c>
      <c r="AA11" s="104" vm="38">
        <f ca="1"/>
        <v>2422.15</v>
      </c>
      <c r="AB11" s="105">
        <f t="shared" ca="1" si="5"/>
        <v>-7.7065233958238055E-2</v>
      </c>
      <c r="AD11" s="104" vm="32">
        <f ca="1"/>
        <v>44417</v>
      </c>
      <c r="AE11" s="104" vm="39">
        <f ca="1"/>
        <v>170.67500000000001</v>
      </c>
      <c r="AF11" s="105">
        <f t="shared" ca="1" si="6"/>
        <v>-2.4017155110793387E-2</v>
      </c>
    </row>
    <row r="12" spans="2:32" x14ac:dyDescent="0.3">
      <c r="B12" s="104" vm="40">
        <f ca="1"/>
        <v>44424</v>
      </c>
      <c r="C12" s="104" vm="41">
        <f ca="1"/>
        <v>3112.95</v>
      </c>
      <c r="D12" s="105">
        <f t="shared" ca="1" si="0"/>
        <v>4.1573259276608487E-2</v>
      </c>
      <c r="F12" s="104" vm="40">
        <f ca="1"/>
        <v>44424</v>
      </c>
      <c r="G12" s="104" vm="42">
        <f ca="1"/>
        <v>16450.5</v>
      </c>
      <c r="H12" s="105">
        <f t="shared" ca="1" si="1"/>
        <v>-4.7552498321141723E-3</v>
      </c>
      <c r="N12" s="104" vm="40">
        <f ca="1"/>
        <v>44424</v>
      </c>
      <c r="O12" s="104" vm="43">
        <f ca="1"/>
        <v>414.8295</v>
      </c>
      <c r="P12" s="105">
        <f t="shared" ca="1" si="2"/>
        <v>-4.139441291857171E-3</v>
      </c>
      <c r="R12" s="104" vm="40">
        <f ca="1"/>
        <v>44424</v>
      </c>
      <c r="S12" s="104" vm="44">
        <f ca="1"/>
        <v>682.7056</v>
      </c>
      <c r="T12" s="105">
        <f t="shared" ca="1" si="3"/>
        <v>9.9858629767990426E-3</v>
      </c>
      <c r="V12" s="104" vm="40">
        <f ca="1"/>
        <v>44424</v>
      </c>
      <c r="W12" s="104" vm="45">
        <f ca="1"/>
        <v>2119.6237000000001</v>
      </c>
      <c r="X12" s="105">
        <f t="shared" ca="1" si="4"/>
        <v>-2.0280318886048976E-3</v>
      </c>
      <c r="Z12" s="104" vm="40">
        <f ca="1"/>
        <v>44424</v>
      </c>
      <c r="AA12" s="104" vm="46">
        <f ca="1"/>
        <v>2433</v>
      </c>
      <c r="AB12" s="105">
        <f t="shared" ca="1" si="5"/>
        <v>4.4794913609809139E-3</v>
      </c>
      <c r="AD12" s="104" vm="40">
        <f ca="1"/>
        <v>44424</v>
      </c>
      <c r="AE12" s="104" vm="47">
        <f ca="1"/>
        <v>162.85</v>
      </c>
      <c r="AF12" s="105">
        <f t="shared" ca="1" si="6"/>
        <v>-4.5847370733851034E-2</v>
      </c>
    </row>
    <row r="13" spans="2:32" x14ac:dyDescent="0.3">
      <c r="B13" s="104" vm="48">
        <f ca="1"/>
        <v>44431</v>
      </c>
      <c r="C13" s="104" vm="49">
        <f ca="1"/>
        <v>3036.8</v>
      </c>
      <c r="D13" s="105">
        <f t="shared" ca="1" si="0"/>
        <v>-2.4462326731877981E-2</v>
      </c>
      <c r="F13" s="104" vm="50">
        <f ca="1"/>
        <v>44432</v>
      </c>
      <c r="G13" s="104" vm="51">
        <f ca="1"/>
        <v>16705.2</v>
      </c>
      <c r="H13" s="105">
        <f t="shared" ca="1" si="1"/>
        <v>1.5482812072581398E-2</v>
      </c>
      <c r="J13" s="70" t="s">
        <v>186</v>
      </c>
      <c r="K13" s="70"/>
      <c r="L13" s="71">
        <f ca="1">(L8*L9)+L10*L11</f>
        <v>0.94143196294845877</v>
      </c>
      <c r="N13" s="104" vm="48">
        <f ca="1"/>
        <v>44431</v>
      </c>
      <c r="O13" s="104" vm="52">
        <f ca="1"/>
        <v>412.6078</v>
      </c>
      <c r="P13" s="105">
        <f t="shared" ca="1" si="2"/>
        <v>-5.3556943274284396E-3</v>
      </c>
      <c r="R13" s="104" vm="48">
        <f ca="1"/>
        <v>44431</v>
      </c>
      <c r="S13" s="104" vm="53">
        <f ca="1"/>
        <v>654.87239999999997</v>
      </c>
      <c r="T13" s="105">
        <f t="shared" ca="1" si="3"/>
        <v>-4.0768963957524385E-2</v>
      </c>
      <c r="V13" s="104" vm="48">
        <f ca="1"/>
        <v>44431</v>
      </c>
      <c r="W13" s="104" vm="54">
        <f ca="1"/>
        <v>2106.9886000000001</v>
      </c>
      <c r="X13" s="105">
        <f t="shared" ca="1" si="4"/>
        <v>-5.9610109096250863E-3</v>
      </c>
      <c r="Z13" s="104" vm="48">
        <f ca="1"/>
        <v>44431</v>
      </c>
      <c r="AA13" s="104" vm="55">
        <f ca="1"/>
        <v>2590.6</v>
      </c>
      <c r="AB13" s="105">
        <f t="shared" ca="1" si="5"/>
        <v>6.4775996711878392E-2</v>
      </c>
      <c r="AD13" s="104" vm="48">
        <f ca="1"/>
        <v>44431</v>
      </c>
      <c r="AE13" s="104" vm="56">
        <f ca="1"/>
        <v>173.22499999999999</v>
      </c>
      <c r="AF13" s="105">
        <f t="shared" ca="1" si="6"/>
        <v>6.3708934602394907E-2</v>
      </c>
    </row>
    <row r="14" spans="2:32" x14ac:dyDescent="0.3">
      <c r="B14" s="104" vm="57">
        <f ca="1"/>
        <v>44438</v>
      </c>
      <c r="C14" s="104" vm="58">
        <f ca="1"/>
        <v>3338.8</v>
      </c>
      <c r="D14" s="105">
        <f t="shared" ca="1" si="0"/>
        <v>9.9446786090621631E-2</v>
      </c>
      <c r="F14" s="104" vm="57">
        <f ca="1"/>
        <v>44438</v>
      </c>
      <c r="G14" s="104" vm="59">
        <f ca="1"/>
        <v>17323.599999999999</v>
      </c>
      <c r="H14" s="105">
        <f t="shared" ca="1" si="1"/>
        <v>3.7018413428153929E-2</v>
      </c>
      <c r="N14" s="104" vm="57">
        <f ca="1"/>
        <v>44438</v>
      </c>
      <c r="O14" s="104" vm="60">
        <f ca="1"/>
        <v>410.88350000000003</v>
      </c>
      <c r="P14" s="105">
        <f t="shared" ca="1" si="2"/>
        <v>-4.1790290925183271E-3</v>
      </c>
      <c r="R14" s="104" vm="57">
        <f ca="1"/>
        <v>44438</v>
      </c>
      <c r="S14" s="104" vm="61">
        <f ca="1"/>
        <v>692.78890000000001</v>
      </c>
      <c r="T14" s="105">
        <f t="shared" ca="1" si="3"/>
        <v>5.7899065527879934E-2</v>
      </c>
      <c r="V14" s="104" vm="57">
        <f ca="1"/>
        <v>44438</v>
      </c>
      <c r="W14" s="104" vm="62">
        <f ca="1"/>
        <v>2158.1030999999998</v>
      </c>
      <c r="X14" s="105">
        <f t="shared" ca="1" si="4"/>
        <v>2.4259504773779916E-2</v>
      </c>
      <c r="Z14" s="104" vm="57">
        <f ca="1"/>
        <v>44438</v>
      </c>
      <c r="AA14" s="104" vm="63">
        <f ca="1"/>
        <v>2626.05</v>
      </c>
      <c r="AB14" s="105">
        <f t="shared" ca="1" si="5"/>
        <v>1.3684088628117097E-2</v>
      </c>
      <c r="AD14" s="104" vm="57">
        <f ca="1"/>
        <v>44438</v>
      </c>
      <c r="AE14" s="104" vm="64">
        <f ca="1"/>
        <v>168.92500000000001</v>
      </c>
      <c r="AF14" s="105">
        <f t="shared" ca="1" si="6"/>
        <v>-2.4823206811949716E-2</v>
      </c>
    </row>
    <row r="15" spans="2:32" x14ac:dyDescent="0.3">
      <c r="B15" s="104" vm="65">
        <f ca="1"/>
        <v>44445</v>
      </c>
      <c r="C15" s="104" vm="66">
        <f ca="1"/>
        <v>3346.35</v>
      </c>
      <c r="D15" s="105">
        <f t="shared" ca="1" si="0"/>
        <v>2.2612914819695185E-3</v>
      </c>
      <c r="F15" s="104" vm="65">
        <f ca="1"/>
        <v>44445</v>
      </c>
      <c r="G15" s="104" vm="67">
        <f ca="1"/>
        <v>17369.25</v>
      </c>
      <c r="H15" s="105">
        <f t="shared" ca="1" si="1"/>
        <v>2.6351335750076643E-3</v>
      </c>
      <c r="J15" s="281" t="s">
        <v>256</v>
      </c>
      <c r="K15" s="281"/>
      <c r="L15" s="281"/>
      <c r="N15" s="104" vm="65">
        <f ca="1"/>
        <v>44445</v>
      </c>
      <c r="O15" s="104" vm="68">
        <f ca="1"/>
        <v>405.3458</v>
      </c>
      <c r="P15" s="105">
        <f t="shared" ca="1" si="2"/>
        <v>-1.3477542904497319E-2</v>
      </c>
      <c r="R15" s="104" vm="65">
        <f ca="1"/>
        <v>44445</v>
      </c>
      <c r="S15" s="104" vm="69">
        <f ca="1"/>
        <v>697.12220000000002</v>
      </c>
      <c r="T15" s="105">
        <f t="shared" ca="1" si="3"/>
        <v>6.2548634944930015E-3</v>
      </c>
      <c r="V15" s="104" vm="65">
        <f ca="1"/>
        <v>44445</v>
      </c>
      <c r="W15" s="104" vm="70">
        <f ca="1"/>
        <v>2101.8676</v>
      </c>
      <c r="X15" s="105">
        <f t="shared" ca="1" si="4"/>
        <v>-2.6057837551875851E-2</v>
      </c>
      <c r="Z15" s="104" vm="65">
        <f ca="1"/>
        <v>44445</v>
      </c>
      <c r="AA15" s="104" vm="71">
        <f ca="1"/>
        <v>2590.15</v>
      </c>
      <c r="AB15" s="105">
        <f t="shared" ca="1" si="5"/>
        <v>-1.3670722187315576E-2</v>
      </c>
      <c r="AD15" s="104" vm="65">
        <f ca="1"/>
        <v>44445</v>
      </c>
      <c r="AE15" s="104" vm="72">
        <f ca="1"/>
        <v>165.2</v>
      </c>
      <c r="AF15" s="105">
        <f t="shared" ca="1" si="6"/>
        <v>-2.2051206156578518E-2</v>
      </c>
    </row>
    <row r="16" spans="2:32" x14ac:dyDescent="0.3">
      <c r="B16" s="104" vm="73">
        <f ca="1"/>
        <v>44452</v>
      </c>
      <c r="C16" s="104" vm="74">
        <f ca="1"/>
        <v>3303.05</v>
      </c>
      <c r="D16" s="105">
        <f t="shared" ca="1" si="0"/>
        <v>-1.2939471364322275E-2</v>
      </c>
      <c r="F16" s="104" vm="73">
        <f ca="1"/>
        <v>44452</v>
      </c>
      <c r="G16" s="104" vm="75">
        <f ca="1"/>
        <v>17585.150000000001</v>
      </c>
      <c r="H16" s="105">
        <f t="shared" ca="1" si="1"/>
        <v>1.2430012809994784E-2</v>
      </c>
      <c r="N16" s="104" vm="73">
        <f ca="1"/>
        <v>44452</v>
      </c>
      <c r="O16" s="104" vm="76">
        <f ca="1"/>
        <v>407.1696</v>
      </c>
      <c r="P16" s="105">
        <f t="shared" ca="1" si="2"/>
        <v>4.499368193774389E-3</v>
      </c>
      <c r="R16" s="104" vm="73">
        <f ca="1"/>
        <v>44452</v>
      </c>
      <c r="S16" s="104" vm="77">
        <f ca="1"/>
        <v>682.28890000000001</v>
      </c>
      <c r="T16" s="105">
        <f t="shared" ca="1" si="3"/>
        <v>-2.1277905078908699E-2</v>
      </c>
      <c r="V16" s="104" vm="73">
        <f ca="1"/>
        <v>44452</v>
      </c>
      <c r="W16" s="104" vm="78">
        <f ca="1"/>
        <v>2116.5128</v>
      </c>
      <c r="X16" s="105">
        <f t="shared" ca="1" si="4"/>
        <v>6.967708146792928E-3</v>
      </c>
      <c r="Z16" s="104" vm="73">
        <f ca="1"/>
        <v>44452</v>
      </c>
      <c r="AA16" s="104" vm="79">
        <f ca="1"/>
        <v>2605.35</v>
      </c>
      <c r="AB16" s="105">
        <f t="shared" ca="1" si="5"/>
        <v>5.8683860008106326E-3</v>
      </c>
      <c r="AD16" s="104" vm="73">
        <f ca="1"/>
        <v>44452</v>
      </c>
      <c r="AE16" s="104" vm="80">
        <f ca="1"/>
        <v>169.27500000000001</v>
      </c>
      <c r="AF16" s="105">
        <f t="shared" ca="1" si="6"/>
        <v>2.4667070217917697E-2</v>
      </c>
    </row>
    <row r="17" spans="2:32" x14ac:dyDescent="0.3">
      <c r="B17" s="104" vm="81">
        <f ca="1"/>
        <v>44459</v>
      </c>
      <c r="C17" s="104" vm="82">
        <f ca="1"/>
        <v>3448.6</v>
      </c>
      <c r="D17" s="105">
        <f t="shared" ca="1" si="0"/>
        <v>4.406533355535025E-2</v>
      </c>
      <c r="F17" s="104" vm="81">
        <f ca="1"/>
        <v>44459</v>
      </c>
      <c r="G17" s="104" vm="83">
        <f ca="1"/>
        <v>17853.2</v>
      </c>
      <c r="H17" s="105">
        <f t="shared" ca="1" si="1"/>
        <v>1.5242974896432449E-2</v>
      </c>
      <c r="J17" t="s">
        <v>187</v>
      </c>
      <c r="L17" s="55">
        <f ca="1">_xlfn.COVARIANCE.S(P9:P269,$H$9:$H$269)/_xlfn.VAR.S($H$9:$H$269)</f>
        <v>0.85397351886933415</v>
      </c>
      <c r="N17" s="104" vm="81">
        <f ca="1"/>
        <v>44459</v>
      </c>
      <c r="O17" s="104" vm="84">
        <f ca="1"/>
        <v>416.91860000000003</v>
      </c>
      <c r="P17" s="105">
        <f t="shared" ca="1" si="2"/>
        <v>2.3943339581343981E-2</v>
      </c>
      <c r="R17" s="104" vm="81">
        <f ca="1"/>
        <v>44459</v>
      </c>
      <c r="S17" s="104" vm="85">
        <f ca="1"/>
        <v>700.08050000000003</v>
      </c>
      <c r="T17" s="105">
        <f t="shared" ca="1" si="3"/>
        <v>2.607634390651814E-2</v>
      </c>
      <c r="V17" s="104" vm="81">
        <f ca="1"/>
        <v>44459</v>
      </c>
      <c r="W17" s="104" vm="86">
        <f ca="1"/>
        <v>2112.5882999999999</v>
      </c>
      <c r="X17" s="105">
        <f t="shared" ca="1" si="4"/>
        <v>-1.8542292775173275E-3</v>
      </c>
      <c r="Z17" s="104" vm="81">
        <f ca="1"/>
        <v>44459</v>
      </c>
      <c r="AA17" s="104" vm="87">
        <f ca="1"/>
        <v>2587.85</v>
      </c>
      <c r="AB17" s="105">
        <f t="shared" ca="1" si="5"/>
        <v>-6.7169478189110787E-3</v>
      </c>
      <c r="AD17" s="104" vm="81">
        <f ca="1"/>
        <v>44459</v>
      </c>
      <c r="AE17" s="104" vm="88">
        <f ca="1"/>
        <v>172.02500000000001</v>
      </c>
      <c r="AF17" s="105">
        <f t="shared" ca="1" si="6"/>
        <v>1.6245753950671959E-2</v>
      </c>
    </row>
    <row r="18" spans="2:32" x14ac:dyDescent="0.3">
      <c r="B18" s="104" vm="89">
        <f ca="1"/>
        <v>44466</v>
      </c>
      <c r="C18" s="104" vm="90">
        <f ca="1"/>
        <v>3177.85</v>
      </c>
      <c r="D18" s="105">
        <f t="shared" ca="1" si="0"/>
        <v>-7.8510120048715382E-2</v>
      </c>
      <c r="F18" s="104" vm="89">
        <f ca="1"/>
        <v>44466</v>
      </c>
      <c r="G18" s="104" vm="91">
        <f ca="1"/>
        <v>17532.05</v>
      </c>
      <c r="H18" s="105">
        <f t="shared" ca="1" si="1"/>
        <v>-1.7988371832500683E-2</v>
      </c>
      <c r="J18" t="s">
        <v>182</v>
      </c>
      <c r="L18" s="55">
        <f ca="1">L17</f>
        <v>0.85397351886933415</v>
      </c>
      <c r="N18" s="104" vm="89">
        <f ca="1"/>
        <v>44466</v>
      </c>
      <c r="O18" s="104" vm="92">
        <f ca="1"/>
        <v>422.5557</v>
      </c>
      <c r="P18" s="105">
        <f t="shared" ca="1" si="2"/>
        <v>1.3520864744340999E-2</v>
      </c>
      <c r="R18" s="104" vm="89">
        <f ca="1"/>
        <v>44466</v>
      </c>
      <c r="S18" s="104" vm="93">
        <f ca="1"/>
        <v>675.3306</v>
      </c>
      <c r="T18" s="105">
        <f t="shared" ca="1" si="3"/>
        <v>-3.5352934412542614E-2</v>
      </c>
      <c r="V18" s="104" vm="89">
        <f ca="1"/>
        <v>44466</v>
      </c>
      <c r="W18" s="104" vm="94">
        <f ca="1"/>
        <v>2153.3649999999998</v>
      </c>
      <c r="X18" s="105">
        <f t="shared" ca="1" si="4"/>
        <v>1.9301773090383945E-2</v>
      </c>
      <c r="Z18" s="104" vm="89">
        <f ca="1"/>
        <v>44466</v>
      </c>
      <c r="AA18" s="104" vm="95">
        <f ca="1"/>
        <v>2526.3000000000002</v>
      </c>
      <c r="AB18" s="105">
        <f t="shared" ca="1" si="5"/>
        <v>-2.3784222424019785E-2</v>
      </c>
      <c r="AD18" s="104" vm="89">
        <f ca="1"/>
        <v>44466</v>
      </c>
      <c r="AE18" s="104" vm="96">
        <f ca="1"/>
        <v>178.02500000000001</v>
      </c>
      <c r="AF18" s="105">
        <f t="shared" ca="1" si="6"/>
        <v>3.4878651358814183E-2</v>
      </c>
    </row>
    <row r="19" spans="2:32" x14ac:dyDescent="0.3">
      <c r="B19" s="104" vm="97">
        <f ca="1"/>
        <v>44473</v>
      </c>
      <c r="C19" s="104" vm="98">
        <f ca="1"/>
        <v>3306.9</v>
      </c>
      <c r="D19" s="105">
        <f t="shared" ca="1" si="0"/>
        <v>4.0609216923391589E-2</v>
      </c>
      <c r="F19" s="104" vm="97">
        <f ca="1"/>
        <v>44473</v>
      </c>
      <c r="G19" s="104" vm="99">
        <f ca="1"/>
        <v>17895.2</v>
      </c>
      <c r="H19" s="105">
        <f t="shared" ca="1" si="1"/>
        <v>2.0713493288006868E-2</v>
      </c>
      <c r="J19" t="s">
        <v>183</v>
      </c>
      <c r="L19">
        <v>0.75</v>
      </c>
      <c r="N19" s="104" vm="97">
        <f ca="1"/>
        <v>44473</v>
      </c>
      <c r="O19" s="104" vm="100">
        <f ca="1"/>
        <v>418.94130000000001</v>
      </c>
      <c r="P19" s="105">
        <f t="shared" ca="1" si="2"/>
        <v>-8.5536652327727891E-3</v>
      </c>
      <c r="R19" s="104" vm="97">
        <f ca="1"/>
        <v>44473</v>
      </c>
      <c r="S19" s="104" vm="101">
        <f ca="1"/>
        <v>691.9556</v>
      </c>
      <c r="T19" s="105">
        <f t="shared" ca="1" si="3"/>
        <v>2.4617572489681327E-2</v>
      </c>
      <c r="V19" s="104" vm="97">
        <f ca="1"/>
        <v>44473</v>
      </c>
      <c r="W19" s="104" vm="102">
        <f ca="1"/>
        <v>2143.2186999999999</v>
      </c>
      <c r="X19" s="105">
        <f t="shared" ca="1" si="4"/>
        <v>-4.7118347330804555E-3</v>
      </c>
      <c r="Z19" s="104" vm="97">
        <f ca="1"/>
        <v>44473</v>
      </c>
      <c r="AA19" s="104" vm="103">
        <f ca="1"/>
        <v>2533.3000000000002</v>
      </c>
      <c r="AB19" s="105">
        <f t="shared" ca="1" si="5"/>
        <v>2.7708506511499031E-3</v>
      </c>
      <c r="AD19" s="104" vm="97">
        <f ca="1"/>
        <v>44473</v>
      </c>
      <c r="AE19" s="104" vm="104">
        <f ca="1"/>
        <v>204.47499999999999</v>
      </c>
      <c r="AF19" s="105">
        <f t="shared" ca="1" si="6"/>
        <v>0.14857463839348406</v>
      </c>
    </row>
    <row r="20" spans="2:32" x14ac:dyDescent="0.3">
      <c r="B20" s="104" vm="105">
        <f ca="1"/>
        <v>44480</v>
      </c>
      <c r="C20" s="104" vm="106">
        <f ca="1"/>
        <v>3297.8</v>
      </c>
      <c r="D20" s="105">
        <f t="shared" ca="1" si="0"/>
        <v>-2.7518219480480166E-3</v>
      </c>
      <c r="F20" s="104" vm="105">
        <f ca="1"/>
        <v>44480</v>
      </c>
      <c r="G20" s="104" vm="107">
        <f ca="1"/>
        <v>18338.55</v>
      </c>
      <c r="H20" s="105">
        <f t="shared" ca="1" si="1"/>
        <v>2.4774799946354342E-2</v>
      </c>
      <c r="J20" t="s">
        <v>185</v>
      </c>
      <c r="L20">
        <v>1</v>
      </c>
      <c r="N20" s="104" vm="105">
        <f ca="1"/>
        <v>44480</v>
      </c>
      <c r="O20" s="104" vm="108">
        <f ca="1"/>
        <v>402.69299999999998</v>
      </c>
      <c r="P20" s="105">
        <f t="shared" ca="1" si="2"/>
        <v>-3.878419243937048E-2</v>
      </c>
      <c r="R20" s="104" vm="105">
        <f ca="1"/>
        <v>44480</v>
      </c>
      <c r="S20" s="104" vm="109">
        <f ca="1"/>
        <v>698.70550000000003</v>
      </c>
      <c r="T20" s="105">
        <f t="shared" ca="1" si="3"/>
        <v>9.7548166385241775E-3</v>
      </c>
      <c r="V20" s="104" vm="105">
        <f ca="1"/>
        <v>44480</v>
      </c>
      <c r="W20" s="104" vm="110">
        <f ca="1"/>
        <v>2126.0848000000001</v>
      </c>
      <c r="X20" s="105">
        <f t="shared" ca="1" si="4"/>
        <v>-7.9944711195361062E-3</v>
      </c>
      <c r="Z20" s="104" vm="105">
        <f ca="1"/>
        <v>44480</v>
      </c>
      <c r="AA20" s="104" vm="111">
        <f ca="1"/>
        <v>2508</v>
      </c>
      <c r="AB20" s="105">
        <f t="shared" ca="1" si="5"/>
        <v>-9.9869735128094161E-3</v>
      </c>
      <c r="AD20" s="104" vm="105">
        <f ca="1"/>
        <v>44480</v>
      </c>
      <c r="AE20" s="104" vm="112">
        <f ca="1"/>
        <v>208.92500000000001</v>
      </c>
      <c r="AF20" s="105">
        <f t="shared" ca="1" si="6"/>
        <v>2.1763051717814008E-2</v>
      </c>
    </row>
    <row r="21" spans="2:32" x14ac:dyDescent="0.3">
      <c r="B21" s="104" vm="113">
        <f ca="1"/>
        <v>44487</v>
      </c>
      <c r="C21" s="104" vm="114">
        <f ca="1"/>
        <v>2982.4</v>
      </c>
      <c r="D21" s="105">
        <f t="shared" ca="1" si="0"/>
        <v>-9.5639517253926831E-2</v>
      </c>
      <c r="F21" s="104" vm="113">
        <f ca="1"/>
        <v>44487</v>
      </c>
      <c r="G21" s="104" vm="115">
        <f ca="1"/>
        <v>18114.900000000001</v>
      </c>
      <c r="H21" s="105">
        <f t="shared" ca="1" si="1"/>
        <v>-1.2195620700655052E-2</v>
      </c>
      <c r="J21" t="s">
        <v>184</v>
      </c>
      <c r="L21">
        <v>0.25</v>
      </c>
      <c r="N21" s="104" vm="113">
        <f ca="1"/>
        <v>44487</v>
      </c>
      <c r="O21" s="104" vm="116">
        <f ca="1"/>
        <v>364.65870000000001</v>
      </c>
      <c r="P21" s="105">
        <f t="shared" ca="1" si="2"/>
        <v>-9.4449866275301497E-2</v>
      </c>
      <c r="R21" s="104" vm="113">
        <f ca="1"/>
        <v>44487</v>
      </c>
      <c r="S21" s="104" vm="117">
        <f ca="1"/>
        <v>613.70590000000004</v>
      </c>
      <c r="T21" s="105">
        <f t="shared" ca="1" si="3"/>
        <v>-0.12165297110155848</v>
      </c>
      <c r="V21" s="104" vm="113">
        <f ca="1"/>
        <v>44487</v>
      </c>
      <c r="W21" s="104" vm="118">
        <f ca="1"/>
        <v>2068.7485000000001</v>
      </c>
      <c r="X21" s="105">
        <f t="shared" ca="1" si="4"/>
        <v>-2.6968021219097138E-2</v>
      </c>
      <c r="Z21" s="104" vm="113">
        <f ca="1"/>
        <v>44487</v>
      </c>
      <c r="AA21" s="104" vm="119">
        <f ca="1"/>
        <v>2420.8000000000002</v>
      </c>
      <c r="AB21" s="105">
        <f t="shared" ca="1" si="5"/>
        <v>-3.4768740031897893E-2</v>
      </c>
      <c r="AD21" s="104" vm="113">
        <f ca="1"/>
        <v>44487</v>
      </c>
      <c r="AE21" s="104" vm="120">
        <f ca="1"/>
        <v>198.95</v>
      </c>
      <c r="AF21" s="105">
        <f t="shared" ca="1" si="6"/>
        <v>-4.7744405887280239E-2</v>
      </c>
    </row>
    <row r="22" spans="2:32" x14ac:dyDescent="0.3">
      <c r="B22" s="104" vm="121">
        <f ca="1"/>
        <v>44494</v>
      </c>
      <c r="C22" s="104" vm="122">
        <f ca="1"/>
        <v>3100.1</v>
      </c>
      <c r="D22" s="105">
        <f t="shared" ca="1" si="0"/>
        <v>3.9464860515021405E-2</v>
      </c>
      <c r="F22" s="104" vm="121">
        <f ca="1"/>
        <v>44494</v>
      </c>
      <c r="G22" s="104" vm="123">
        <f ca="1"/>
        <v>17671.650000000001</v>
      </c>
      <c r="H22" s="105">
        <f t="shared" ca="1" si="1"/>
        <v>-2.4468807445804264E-2</v>
      </c>
      <c r="N22" s="104" vm="121">
        <f ca="1"/>
        <v>44494</v>
      </c>
      <c r="O22" s="104" vm="124">
        <f ca="1"/>
        <v>361.4753</v>
      </c>
      <c r="P22" s="105">
        <f t="shared" ca="1" si="2"/>
        <v>-8.7298068029091347E-3</v>
      </c>
      <c r="R22" s="104" vm="121">
        <f ca="1"/>
        <v>44494</v>
      </c>
      <c r="S22" s="104" vm="125">
        <f ca="1"/>
        <v>617.91420000000005</v>
      </c>
      <c r="T22" s="105">
        <f t="shared" ca="1" si="3"/>
        <v>6.8571933233818605E-3</v>
      </c>
      <c r="V22" s="104" vm="121">
        <f ca="1"/>
        <v>44494</v>
      </c>
      <c r="W22" s="104" vm="126">
        <f ca="1"/>
        <v>2010.9815000000001</v>
      </c>
      <c r="X22" s="105">
        <f t="shared" ca="1" si="4"/>
        <v>-2.7923645624395643E-2</v>
      </c>
      <c r="Z22" s="104" vm="121">
        <f ca="1"/>
        <v>44494</v>
      </c>
      <c r="AA22" s="104" vm="127">
        <f ca="1"/>
        <v>2390.35</v>
      </c>
      <c r="AB22" s="105">
        <f t="shared" ca="1" si="5"/>
        <v>-1.2578486450760207E-2</v>
      </c>
      <c r="AD22" s="104" vm="121">
        <f ca="1"/>
        <v>44494</v>
      </c>
      <c r="AE22" s="104" vm="128">
        <f ca="1"/>
        <v>181.32499999999999</v>
      </c>
      <c r="AF22" s="105">
        <f t="shared" ca="1" si="6"/>
        <v>-8.8590098014576513E-2</v>
      </c>
    </row>
    <row r="23" spans="2:32" x14ac:dyDescent="0.3">
      <c r="B23" s="104" vm="129">
        <f ca="1"/>
        <v>44501</v>
      </c>
      <c r="C23" s="104" vm="130">
        <f ca="1"/>
        <v>3159.25</v>
      </c>
      <c r="D23" s="105">
        <f t="shared" ca="1" si="0"/>
        <v>1.9080029676462162E-2</v>
      </c>
      <c r="F23" s="104" vm="129">
        <f ca="1"/>
        <v>44501</v>
      </c>
      <c r="G23" s="104" vm="131">
        <f ca="1"/>
        <v>17916.8</v>
      </c>
      <c r="H23" s="105">
        <f t="shared" ca="1" si="1"/>
        <v>1.3872502001793796E-2</v>
      </c>
      <c r="J23" s="70" t="s">
        <v>186</v>
      </c>
      <c r="K23" s="70"/>
      <c r="L23" s="71">
        <f ca="1">(L18*L19)+L20*L21</f>
        <v>0.89048013915200064</v>
      </c>
      <c r="N23" s="104" vm="129">
        <f ca="1"/>
        <v>44501</v>
      </c>
      <c r="O23" s="104" vm="132">
        <f ca="1"/>
        <v>381.23860000000002</v>
      </c>
      <c r="P23" s="105">
        <f t="shared" ca="1" si="2"/>
        <v>5.4673998472371421E-2</v>
      </c>
      <c r="R23" s="104" vm="129">
        <f ca="1"/>
        <v>44501</v>
      </c>
      <c r="S23" s="104" vm="133">
        <f ca="1"/>
        <v>635.83079999999995</v>
      </c>
      <c r="T23" s="105">
        <f t="shared" ca="1" si="3"/>
        <v>2.8995287695281702E-2</v>
      </c>
      <c r="V23" s="104" vm="129">
        <f ca="1"/>
        <v>44501</v>
      </c>
      <c r="W23" s="104" vm="134">
        <f ca="1"/>
        <v>2034.8158000000001</v>
      </c>
      <c r="X23" s="105">
        <f t="shared" ca="1" si="4"/>
        <v>1.1852073228918236E-2</v>
      </c>
      <c r="Z23" s="104" vm="129">
        <f ca="1"/>
        <v>44501</v>
      </c>
      <c r="AA23" s="104" vm="135">
        <f ca="1"/>
        <v>2349.85</v>
      </c>
      <c r="AB23" s="105">
        <f t="shared" ca="1" si="5"/>
        <v>-1.6943125483715793E-2</v>
      </c>
      <c r="AD23" s="104" vm="129">
        <f ca="1"/>
        <v>44501</v>
      </c>
      <c r="AE23" s="104" vm="136">
        <f ca="1"/>
        <v>197.85</v>
      </c>
      <c r="AF23" s="105">
        <f t="shared" ca="1" si="6"/>
        <v>9.1134702881566332E-2</v>
      </c>
    </row>
    <row r="24" spans="2:32" x14ac:dyDescent="0.3">
      <c r="B24" s="104" vm="137">
        <f ca="1"/>
        <v>44508</v>
      </c>
      <c r="C24" s="104" vm="138">
        <f ca="1"/>
        <v>3122.9</v>
      </c>
      <c r="D24" s="105">
        <f t="shared" ca="1" si="0"/>
        <v>-1.1505895386563214E-2</v>
      </c>
      <c r="F24" s="104" vm="137">
        <f ca="1"/>
        <v>44508</v>
      </c>
      <c r="G24" s="104" vm="139">
        <f ca="1"/>
        <v>18102.75</v>
      </c>
      <c r="H24" s="105">
        <f t="shared" ca="1" si="1"/>
        <v>1.0378527415610073E-2</v>
      </c>
      <c r="N24" s="104" vm="137">
        <f ca="1"/>
        <v>44508</v>
      </c>
      <c r="O24" s="104" vm="140">
        <f ca="1"/>
        <v>395.63</v>
      </c>
      <c r="P24" s="105">
        <f t="shared" ca="1" si="2"/>
        <v>3.7749063185102294E-2</v>
      </c>
      <c r="R24" s="104" vm="137">
        <f ca="1"/>
        <v>44508</v>
      </c>
      <c r="S24" s="104" vm="141">
        <f ca="1"/>
        <v>662.08069999999998</v>
      </c>
      <c r="T24" s="105">
        <f t="shared" ca="1" si="3"/>
        <v>4.1284410884153466E-2</v>
      </c>
      <c r="V24" s="104" vm="137">
        <f ca="1"/>
        <v>44508</v>
      </c>
      <c r="W24" s="104" vm="142">
        <f ca="1"/>
        <v>2025.4351999999999</v>
      </c>
      <c r="X24" s="105">
        <f t="shared" ca="1" si="4"/>
        <v>-4.6100487326666828E-3</v>
      </c>
      <c r="Z24" s="104" vm="137">
        <f ca="1"/>
        <v>44508</v>
      </c>
      <c r="AA24" s="104" vm="143">
        <f ca="1"/>
        <v>2298.6999999999998</v>
      </c>
      <c r="AB24" s="105">
        <f t="shared" ca="1" si="5"/>
        <v>-2.1767346851926717E-2</v>
      </c>
      <c r="AD24" s="104" vm="137">
        <f ca="1"/>
        <v>44508</v>
      </c>
      <c r="AE24" s="104" vm="144">
        <f ca="1"/>
        <v>210.95</v>
      </c>
      <c r="AF24" s="105">
        <f t="shared" ca="1" si="6"/>
        <v>6.6211776598433136E-2</v>
      </c>
    </row>
    <row r="25" spans="2:32" x14ac:dyDescent="0.3">
      <c r="B25" s="104" vm="145">
        <f ca="1"/>
        <v>44515</v>
      </c>
      <c r="C25" s="104" vm="146">
        <f ca="1"/>
        <v>3226.85</v>
      </c>
      <c r="D25" s="105">
        <f t="shared" ca="1" si="0"/>
        <v>3.3286368439591429E-2</v>
      </c>
      <c r="F25" s="104" vm="145">
        <f ca="1"/>
        <v>44515</v>
      </c>
      <c r="G25" s="104" vm="147">
        <f ca="1"/>
        <v>17764.8</v>
      </c>
      <c r="H25" s="105">
        <f t="shared" ca="1" si="1"/>
        <v>-1.8668434353896535E-2</v>
      </c>
      <c r="J25" s="281" t="s">
        <v>257</v>
      </c>
      <c r="K25" s="281"/>
      <c r="L25" s="281"/>
      <c r="N25" s="104" vm="145">
        <f ca="1"/>
        <v>44515</v>
      </c>
      <c r="O25" s="104" vm="148">
        <f ca="1"/>
        <v>391.88290000000001</v>
      </c>
      <c r="P25" s="105">
        <f t="shared" ca="1" si="2"/>
        <v>-9.4712231125040347E-3</v>
      </c>
      <c r="R25" s="104" vm="145">
        <f ca="1"/>
        <v>44515</v>
      </c>
      <c r="S25" s="104" vm="149">
        <f ca="1"/>
        <v>656.78899999999999</v>
      </c>
      <c r="T25" s="105">
        <f t="shared" ca="1" si="3"/>
        <v>-7.9925302157274336E-3</v>
      </c>
      <c r="V25" s="104" vm="145">
        <f ca="1"/>
        <v>44515</v>
      </c>
      <c r="W25" s="104" vm="150">
        <f ca="1"/>
        <v>2109.1902</v>
      </c>
      <c r="X25" s="105">
        <f t="shared" ca="1" si="4"/>
        <v>4.135160680529304E-2</v>
      </c>
      <c r="Z25" s="104" vm="145">
        <f ca="1"/>
        <v>44515</v>
      </c>
      <c r="AA25" s="104" vm="151">
        <f ca="1"/>
        <v>2300.6999999999998</v>
      </c>
      <c r="AB25" s="105">
        <f t="shared" ca="1" si="5"/>
        <v>8.7005698873277026E-4</v>
      </c>
      <c r="AD25" s="104" vm="145">
        <f ca="1"/>
        <v>44515</v>
      </c>
      <c r="AE25" s="104" vm="152">
        <f ca="1"/>
        <v>233.47499999999999</v>
      </c>
      <c r="AF25" s="105">
        <f t="shared" ca="1" si="6"/>
        <v>0.10677885754918237</v>
      </c>
    </row>
    <row r="26" spans="2:32" x14ac:dyDescent="0.3">
      <c r="B26" s="104" vm="153">
        <f ca="1"/>
        <v>44522</v>
      </c>
      <c r="C26" s="104" vm="154">
        <f ca="1"/>
        <v>3143.1</v>
      </c>
      <c r="D26" s="105">
        <f t="shared" ca="1" si="0"/>
        <v>-2.5954103847405374E-2</v>
      </c>
      <c r="F26" s="104" vm="153">
        <f ca="1"/>
        <v>44522</v>
      </c>
      <c r="G26" s="104" vm="155">
        <f ca="1"/>
        <v>17026.45</v>
      </c>
      <c r="H26" s="105">
        <f t="shared" ca="1" si="1"/>
        <v>-4.1562528145546174E-2</v>
      </c>
      <c r="N26" s="104" vm="153">
        <f ca="1"/>
        <v>44522</v>
      </c>
      <c r="O26" s="104" vm="156">
        <f ca="1"/>
        <v>384.58769999999998</v>
      </c>
      <c r="P26" s="105">
        <f t="shared" ca="1" si="2"/>
        <v>-1.8615765066554379E-2</v>
      </c>
      <c r="R26" s="104" vm="153">
        <f ca="1"/>
        <v>44522</v>
      </c>
      <c r="S26" s="104" vm="157">
        <f ca="1"/>
        <v>635.08079999999995</v>
      </c>
      <c r="T26" s="105">
        <f t="shared" ca="1" si="3"/>
        <v>-3.3052015182958305E-2</v>
      </c>
      <c r="V26" s="104" vm="153">
        <f ca="1"/>
        <v>44522</v>
      </c>
      <c r="W26" s="104" vm="158">
        <f ca="1"/>
        <v>2001.5531000000001</v>
      </c>
      <c r="X26" s="105">
        <f t="shared" ca="1" si="4"/>
        <v>-5.1032429412956604E-2</v>
      </c>
      <c r="Z26" s="104" vm="153">
        <f ca="1"/>
        <v>44522</v>
      </c>
      <c r="AA26" s="104" vm="159">
        <f ca="1"/>
        <v>2234.1</v>
      </c>
      <c r="AB26" s="105">
        <f t="shared" ca="1" si="5"/>
        <v>-2.8947711566045031E-2</v>
      </c>
      <c r="AD26" s="104" vm="153">
        <f ca="1"/>
        <v>44522</v>
      </c>
      <c r="AE26" s="104" vm="160">
        <f ca="1"/>
        <v>240.07499999999999</v>
      </c>
      <c r="AF26" s="105">
        <f t="shared" ca="1" si="6"/>
        <v>2.8268551236749095E-2</v>
      </c>
    </row>
    <row r="27" spans="2:32" x14ac:dyDescent="0.3">
      <c r="B27" s="104" vm="161">
        <f ca="1"/>
        <v>44529</v>
      </c>
      <c r="C27" s="104" vm="162">
        <f ca="1"/>
        <v>3110.45</v>
      </c>
      <c r="D27" s="105">
        <f t="shared" ca="1" si="0"/>
        <v>-1.0387833667398483E-2</v>
      </c>
      <c r="F27" s="104" vm="161">
        <f ca="1"/>
        <v>44529</v>
      </c>
      <c r="G27" s="104" vm="163">
        <f ca="1"/>
        <v>17196.7</v>
      </c>
      <c r="H27" s="105">
        <f t="shared" ca="1" si="1"/>
        <v>9.9991483838381967E-3</v>
      </c>
      <c r="J27" t="s">
        <v>187</v>
      </c>
      <c r="L27" s="55">
        <f ca="1">_xlfn.COVARIANCE.S(T9:T269,$H$9:$H$269)/_xlfn.VAR.S($H$9:$H$269)</f>
        <v>0.91926613818643133</v>
      </c>
      <c r="N27" s="104" vm="161">
        <f ca="1"/>
        <v>44529</v>
      </c>
      <c r="O27" s="104" vm="164">
        <f ca="1"/>
        <v>394.5025</v>
      </c>
      <c r="P27" s="105">
        <f t="shared" ca="1" si="2"/>
        <v>2.5780335668561527E-2</v>
      </c>
      <c r="R27" s="104" vm="161">
        <f ca="1"/>
        <v>44529</v>
      </c>
      <c r="S27" s="104" vm="165">
        <f ca="1"/>
        <v>608.28920000000005</v>
      </c>
      <c r="T27" s="105">
        <f t="shared" ca="1" si="3"/>
        <v>-4.2186128127318478E-2</v>
      </c>
      <c r="V27" s="104" vm="161">
        <f ca="1"/>
        <v>44529</v>
      </c>
      <c r="W27" s="104" vm="166">
        <f ca="1"/>
        <v>1971.0183999999999</v>
      </c>
      <c r="X27" s="105">
        <f t="shared" ca="1" si="4"/>
        <v>-1.5255503338882259E-2</v>
      </c>
      <c r="Z27" s="104" vm="161">
        <f ca="1"/>
        <v>44529</v>
      </c>
      <c r="AA27" s="104" vm="167">
        <f ca="1"/>
        <v>2208.6999999999998</v>
      </c>
      <c r="AB27" s="105">
        <f t="shared" ca="1" si="5"/>
        <v>-1.1369231457857842E-2</v>
      </c>
      <c r="AD27" s="104" vm="161">
        <f ca="1"/>
        <v>44529</v>
      </c>
      <c r="AE27" s="104" vm="168">
        <f ca="1"/>
        <v>278.22500000000002</v>
      </c>
      <c r="AF27" s="105">
        <f t="shared" ca="1" si="6"/>
        <v>0.15890867437259204</v>
      </c>
    </row>
    <row r="28" spans="2:32" x14ac:dyDescent="0.3">
      <c r="B28" s="104" vm="169">
        <f ca="1"/>
        <v>44536</v>
      </c>
      <c r="C28" s="104" vm="170">
        <f ca="1"/>
        <v>3283.15</v>
      </c>
      <c r="D28" s="105">
        <f t="shared" ca="1" si="0"/>
        <v>5.5522512819688563E-2</v>
      </c>
      <c r="F28" s="104" vm="169">
        <f ca="1"/>
        <v>44536</v>
      </c>
      <c r="G28" s="104" vm="171">
        <f ca="1"/>
        <v>17511.3</v>
      </c>
      <c r="H28" s="105">
        <f t="shared" ca="1" si="1"/>
        <v>1.8294207609599322E-2</v>
      </c>
      <c r="J28" t="s">
        <v>182</v>
      </c>
      <c r="L28" s="55">
        <f ca="1">L27</f>
        <v>0.91926613818643133</v>
      </c>
      <c r="N28" s="104" vm="169">
        <f ca="1"/>
        <v>44536</v>
      </c>
      <c r="O28" s="104" vm="172">
        <f ca="1"/>
        <v>395.96159999999998</v>
      </c>
      <c r="P28" s="105">
        <f t="shared" ca="1" si="2"/>
        <v>3.6985823917465854E-3</v>
      </c>
      <c r="R28" s="104" vm="169">
        <f ca="1"/>
        <v>44536</v>
      </c>
      <c r="S28" s="104" vm="173">
        <f ca="1"/>
        <v>635.41409999999996</v>
      </c>
      <c r="T28" s="105">
        <f t="shared" ca="1" si="3"/>
        <v>4.4592111778410493E-2</v>
      </c>
      <c r="V28" s="104" vm="169">
        <f ca="1"/>
        <v>44536</v>
      </c>
      <c r="W28" s="104" vm="174">
        <f ca="1"/>
        <v>1971.5447999999999</v>
      </c>
      <c r="X28" s="105">
        <f t="shared" ca="1" si="4"/>
        <v>2.6707005880810541E-4</v>
      </c>
      <c r="Z28" s="104" vm="169">
        <f ca="1"/>
        <v>44536</v>
      </c>
      <c r="AA28" s="104" vm="175">
        <f ca="1"/>
        <v>2071.75</v>
      </c>
      <c r="AB28" s="105">
        <f t="shared" ca="1" si="5"/>
        <v>-6.2004799203151051E-2</v>
      </c>
      <c r="AD28" s="104" vm="169">
        <f ca="1"/>
        <v>44536</v>
      </c>
      <c r="AE28" s="104" vm="176">
        <f ca="1"/>
        <v>287.32499999999999</v>
      </c>
      <c r="AF28" s="105">
        <f t="shared" ca="1" si="6"/>
        <v>3.2707341180698846E-2</v>
      </c>
    </row>
    <row r="29" spans="2:32" x14ac:dyDescent="0.3">
      <c r="B29" s="104" vm="177">
        <f ca="1"/>
        <v>44543</v>
      </c>
      <c r="C29" s="104" vm="178">
        <f ca="1"/>
        <v>3243.7</v>
      </c>
      <c r="D29" s="105">
        <f t="shared" ca="1" si="0"/>
        <v>-1.2015899364939187E-2</v>
      </c>
      <c r="F29" s="104" vm="177">
        <f ca="1"/>
        <v>44543</v>
      </c>
      <c r="G29" s="104" vm="179">
        <f ca="1"/>
        <v>16985.2</v>
      </c>
      <c r="H29" s="105">
        <f t="shared" ca="1" si="1"/>
        <v>-3.004345765305827E-2</v>
      </c>
      <c r="J29" t="s">
        <v>183</v>
      </c>
      <c r="L29">
        <v>0.75</v>
      </c>
      <c r="N29" s="104" vm="177">
        <f ca="1"/>
        <v>44543</v>
      </c>
      <c r="O29" s="104" vm="180">
        <f ca="1"/>
        <v>391.18650000000002</v>
      </c>
      <c r="P29" s="105">
        <f t="shared" ca="1" si="2"/>
        <v>-1.20595027396595E-2</v>
      </c>
      <c r="R29" s="104" vm="177">
        <f ca="1"/>
        <v>44543</v>
      </c>
      <c r="S29" s="104" vm="181">
        <f ca="1"/>
        <v>627.70579999999995</v>
      </c>
      <c r="T29" s="105">
        <f t="shared" ca="1" si="3"/>
        <v>-1.2131144083834422E-2</v>
      </c>
      <c r="V29" s="104" vm="177">
        <f ca="1"/>
        <v>44543</v>
      </c>
      <c r="W29" s="104" vm="182">
        <f ca="1"/>
        <v>1905.6895</v>
      </c>
      <c r="X29" s="105">
        <f t="shared" ca="1" si="4"/>
        <v>-3.3402893000453182E-2</v>
      </c>
      <c r="Z29" s="104" vm="177">
        <f ca="1"/>
        <v>44543</v>
      </c>
      <c r="AA29" s="104" vm="183">
        <f ca="1"/>
        <v>2036.8</v>
      </c>
      <c r="AB29" s="105">
        <f t="shared" ca="1" si="5"/>
        <v>-1.6869796066127707E-2</v>
      </c>
      <c r="AD29" s="104" vm="177">
        <f ca="1"/>
        <v>44543</v>
      </c>
      <c r="AE29" s="104" vm="184">
        <f ca="1"/>
        <v>256.8</v>
      </c>
      <c r="AF29" s="105">
        <f t="shared" ca="1" si="6"/>
        <v>-0.10623858000522046</v>
      </c>
    </row>
    <row r="30" spans="2:32" x14ac:dyDescent="0.3">
      <c r="B30" s="104" vm="185">
        <f ca="1"/>
        <v>44550</v>
      </c>
      <c r="C30" s="104" vm="186">
        <f ca="1"/>
        <v>3284.8</v>
      </c>
      <c r="D30" s="105">
        <f t="shared" ca="1" si="0"/>
        <v>1.2670715540894717E-2</v>
      </c>
      <c r="F30" s="104" vm="185">
        <f ca="1"/>
        <v>44550</v>
      </c>
      <c r="G30" s="104" vm="187">
        <f ca="1"/>
        <v>17003.75</v>
      </c>
      <c r="H30" s="105">
        <f t="shared" ca="1" si="1"/>
        <v>1.0921272637354207E-3</v>
      </c>
      <c r="J30" t="s">
        <v>185</v>
      </c>
      <c r="L30">
        <v>1</v>
      </c>
      <c r="N30" s="104" vm="185">
        <f ca="1"/>
        <v>44550</v>
      </c>
      <c r="O30" s="104" vm="188">
        <f ca="1"/>
        <v>381.86860000000001</v>
      </c>
      <c r="P30" s="105">
        <f t="shared" ca="1" si="2"/>
        <v>-2.3819584776059499E-2</v>
      </c>
      <c r="R30" s="104" vm="185">
        <f ca="1"/>
        <v>44550</v>
      </c>
      <c r="S30" s="104" vm="189">
        <f ca="1"/>
        <v>617.41420000000005</v>
      </c>
      <c r="T30" s="105">
        <f t="shared" ca="1" si="3"/>
        <v>-1.6395578947971945E-2</v>
      </c>
      <c r="V30" s="104" vm="185">
        <f ca="1"/>
        <v>44550</v>
      </c>
      <c r="W30" s="104" vm="190">
        <f ca="1"/>
        <v>1889.6085</v>
      </c>
      <c r="X30" s="105">
        <f t="shared" ca="1" si="4"/>
        <v>-8.4384155970843588E-3</v>
      </c>
      <c r="Z30" s="104" vm="185">
        <f ca="1"/>
        <v>44550</v>
      </c>
      <c r="AA30" s="104" vm="191">
        <f ca="1"/>
        <v>1914.15</v>
      </c>
      <c r="AB30" s="105">
        <f t="shared" ca="1" si="5"/>
        <v>-6.0217007069913508E-2</v>
      </c>
      <c r="AD30" s="104" vm="185">
        <f ca="1"/>
        <v>44550</v>
      </c>
      <c r="AE30" s="104" vm="192">
        <f ca="1"/>
        <v>253.17500000000001</v>
      </c>
      <c r="AF30" s="105">
        <f t="shared" ca="1" si="6"/>
        <v>-1.4116043613707219E-2</v>
      </c>
    </row>
    <row r="31" spans="2:32" x14ac:dyDescent="0.3">
      <c r="B31" s="104" vm="193">
        <f ca="1"/>
        <v>44557</v>
      </c>
      <c r="C31" s="104" vm="194">
        <f ca="1"/>
        <v>3382.95</v>
      </c>
      <c r="D31" s="105">
        <f t="shared" ca="1" si="0"/>
        <v>2.9880053580126464E-2</v>
      </c>
      <c r="F31" s="104" vm="193">
        <f ca="1"/>
        <v>44557</v>
      </c>
      <c r="G31" s="104" vm="195">
        <f ca="1"/>
        <v>17354.05</v>
      </c>
      <c r="H31" s="105">
        <f t="shared" ca="1" si="1"/>
        <v>2.0601337940160169E-2</v>
      </c>
      <c r="J31" t="s">
        <v>184</v>
      </c>
      <c r="L31">
        <v>0.25</v>
      </c>
      <c r="N31" s="104" vm="193">
        <f ca="1"/>
        <v>44557</v>
      </c>
      <c r="O31" s="104" vm="196">
        <f ca="1"/>
        <v>392.08190000000002</v>
      </c>
      <c r="P31" s="105">
        <f t="shared" ca="1" si="2"/>
        <v>2.6745587356488576E-2</v>
      </c>
      <c r="R31" s="104" vm="193">
        <f ca="1"/>
        <v>44557</v>
      </c>
      <c r="S31" s="104" vm="197">
        <f ca="1"/>
        <v>643.12239999999997</v>
      </c>
      <c r="T31" s="105">
        <f t="shared" ca="1" si="3"/>
        <v>4.1638498110344591E-2</v>
      </c>
      <c r="V31" s="104" vm="193">
        <f ca="1"/>
        <v>44557</v>
      </c>
      <c r="W31" s="104" vm="198">
        <f ca="1"/>
        <v>1957.9047</v>
      </c>
      <c r="X31" s="105">
        <f t="shared" ca="1" si="4"/>
        <v>3.6143042328609321E-2</v>
      </c>
      <c r="Z31" s="104" vm="193">
        <f ca="1"/>
        <v>44557</v>
      </c>
      <c r="AA31" s="104" vm="199">
        <f ca="1"/>
        <v>2130.75</v>
      </c>
      <c r="AB31" s="105">
        <f t="shared" ca="1" si="5"/>
        <v>0.1131572760755426</v>
      </c>
      <c r="AD31" s="104" vm="193">
        <f ca="1"/>
        <v>44557</v>
      </c>
      <c r="AE31" s="104" vm="200">
        <f ca="1"/>
        <v>267.875</v>
      </c>
      <c r="AF31" s="105">
        <f t="shared" ca="1" si="6"/>
        <v>5.8062604917547E-2</v>
      </c>
    </row>
    <row r="32" spans="2:32" x14ac:dyDescent="0.3">
      <c r="B32" s="104" vm="201">
        <f ca="1"/>
        <v>44564</v>
      </c>
      <c r="C32" s="104" vm="202">
        <f ca="1"/>
        <v>3576.3</v>
      </c>
      <c r="D32" s="105">
        <f t="shared" ca="1" si="0"/>
        <v>5.7154258856914941E-2</v>
      </c>
      <c r="F32" s="104" vm="201">
        <f ca="1"/>
        <v>44564</v>
      </c>
      <c r="G32" s="104" vm="203">
        <f ca="1"/>
        <v>17812.7</v>
      </c>
      <c r="H32" s="105">
        <f t="shared" ca="1" si="1"/>
        <v>2.6428989198486796E-2</v>
      </c>
      <c r="N32" s="104" vm="201">
        <f ca="1"/>
        <v>44564</v>
      </c>
      <c r="O32" s="104" vm="204">
        <f ca="1"/>
        <v>396.52530000000002</v>
      </c>
      <c r="P32" s="105">
        <f t="shared" ca="1" si="2"/>
        <v>1.1332836328328266E-2</v>
      </c>
      <c r="R32" s="104" vm="201">
        <f ca="1"/>
        <v>44564</v>
      </c>
      <c r="S32" s="104" vm="205">
        <f ca="1"/>
        <v>658.95569999999998</v>
      </c>
      <c r="T32" s="105">
        <f t="shared" ca="1" si="3"/>
        <v>2.4619419258293584E-2</v>
      </c>
      <c r="V32" s="104" vm="201">
        <f ca="1"/>
        <v>44564</v>
      </c>
      <c r="W32" s="104" vm="206">
        <f ca="1"/>
        <v>1914.1606999999999</v>
      </c>
      <c r="X32" s="105">
        <f t="shared" ca="1" si="4"/>
        <v>-2.2342251898164522E-2</v>
      </c>
      <c r="Z32" s="104" vm="201">
        <f ca="1"/>
        <v>44564</v>
      </c>
      <c r="AA32" s="104" vm="207">
        <f ca="1"/>
        <v>2062.5500000000002</v>
      </c>
      <c r="AB32" s="105">
        <f t="shared" ca="1" si="5"/>
        <v>-3.2007509093042286E-2</v>
      </c>
      <c r="AD32" s="104" vm="201">
        <f ca="1"/>
        <v>44564</v>
      </c>
      <c r="AE32" s="104" vm="208">
        <f ca="1"/>
        <v>259.22500000000002</v>
      </c>
      <c r="AF32" s="105">
        <f t="shared" ca="1" si="6"/>
        <v>-3.2291180587960766E-2</v>
      </c>
    </row>
    <row r="33" spans="2:32" x14ac:dyDescent="0.3">
      <c r="B33" s="104" vm="209">
        <f ca="1"/>
        <v>44571</v>
      </c>
      <c r="C33" s="104" vm="210">
        <f ca="1"/>
        <v>3364.4</v>
      </c>
      <c r="D33" s="105">
        <f t="shared" ca="1" si="0"/>
        <v>-5.9251181388585983E-2</v>
      </c>
      <c r="F33" s="104" vm="209">
        <f ca="1"/>
        <v>44571</v>
      </c>
      <c r="G33" s="104" vm="211">
        <f ca="1"/>
        <v>18255.75</v>
      </c>
      <c r="H33" s="105">
        <f t="shared" ca="1" si="1"/>
        <v>2.4872703183683509E-2</v>
      </c>
      <c r="J33" s="70" t="s">
        <v>186</v>
      </c>
      <c r="K33" s="70"/>
      <c r="L33" s="71">
        <f ca="1">(L28*L29)+L30*L31</f>
        <v>0.93944960363982344</v>
      </c>
      <c r="N33" s="104" vm="209">
        <f ca="1"/>
        <v>44571</v>
      </c>
      <c r="O33" s="104" vm="212">
        <f ca="1"/>
        <v>404.8152</v>
      </c>
      <c r="P33" s="105">
        <f t="shared" ca="1" si="2"/>
        <v>2.0906358308032225E-2</v>
      </c>
      <c r="R33" s="104" vm="209">
        <f ca="1"/>
        <v>44571</v>
      </c>
      <c r="S33" s="104" vm="213">
        <f ca="1"/>
        <v>642.78909999999996</v>
      </c>
      <c r="T33" s="105">
        <f t="shared" ca="1" si="3"/>
        <v>-2.4533667437735218E-2</v>
      </c>
      <c r="V33" s="104" vm="209">
        <f ca="1"/>
        <v>44571</v>
      </c>
      <c r="W33" s="104" vm="214">
        <f ca="1"/>
        <v>1895.0166999999999</v>
      </c>
      <c r="X33" s="105">
        <f t="shared" ca="1" si="4"/>
        <v>-1.0001250156269514E-2</v>
      </c>
      <c r="Z33" s="104" vm="209">
        <f ca="1"/>
        <v>44571</v>
      </c>
      <c r="AA33" s="104" vm="215">
        <f ca="1"/>
        <v>2072.1</v>
      </c>
      <c r="AB33" s="105">
        <f t="shared" ca="1" si="5"/>
        <v>4.6301907832535516E-3</v>
      </c>
      <c r="AD33" s="104" vm="209">
        <f ca="1"/>
        <v>44571</v>
      </c>
      <c r="AE33" s="104" vm="216">
        <f ca="1"/>
        <v>288.39999999999998</v>
      </c>
      <c r="AF33" s="105">
        <f t="shared" ca="1" si="6"/>
        <v>0.1125470151412864</v>
      </c>
    </row>
    <row r="34" spans="2:32" x14ac:dyDescent="0.3">
      <c r="B34" s="104" vm="217">
        <f ca="1"/>
        <v>44578</v>
      </c>
      <c r="C34" s="104" vm="218">
        <f ca="1"/>
        <v>3274.85</v>
      </c>
      <c r="D34" s="105">
        <f t="shared" ca="1" si="0"/>
        <v>-2.6616930210438761E-2</v>
      </c>
      <c r="F34" s="104" vm="217">
        <f ca="1"/>
        <v>44578</v>
      </c>
      <c r="G34" s="104" vm="219">
        <f ca="1"/>
        <v>17617.150000000001</v>
      </c>
      <c r="H34" s="105">
        <f t="shared" ca="1" si="1"/>
        <v>-3.4980759486736956E-2</v>
      </c>
      <c r="N34" s="104" vm="217">
        <f ca="1"/>
        <v>44578</v>
      </c>
      <c r="O34" s="104" vm="220">
        <f ca="1"/>
        <v>381.8023</v>
      </c>
      <c r="P34" s="105">
        <f t="shared" ca="1" si="2"/>
        <v>-5.6847914801618105E-2</v>
      </c>
      <c r="R34" s="104" vm="217">
        <f ca="1"/>
        <v>44578</v>
      </c>
      <c r="S34" s="104" vm="221">
        <f ca="1"/>
        <v>620.62249999999995</v>
      </c>
      <c r="T34" s="105">
        <f t="shared" ca="1" si="3"/>
        <v>-3.4485027826389736E-2</v>
      </c>
      <c r="V34" s="104" vm="217">
        <f ca="1"/>
        <v>44578</v>
      </c>
      <c r="W34" s="104" vm="222">
        <f ca="1"/>
        <v>1885.9712</v>
      </c>
      <c r="X34" s="105">
        <f t="shared" ca="1" si="4"/>
        <v>-4.7733088579113847E-3</v>
      </c>
      <c r="Z34" s="104" vm="217">
        <f ca="1"/>
        <v>44578</v>
      </c>
      <c r="AA34" s="104" vm="223">
        <f ca="1"/>
        <v>2014.15</v>
      </c>
      <c r="AB34" s="105">
        <f t="shared" ca="1" si="5"/>
        <v>-2.796679696925819E-2</v>
      </c>
      <c r="AD34" s="104" vm="217">
        <f ca="1"/>
        <v>44578</v>
      </c>
      <c r="AE34" s="104" vm="224">
        <f ca="1"/>
        <v>277.14999999999998</v>
      </c>
      <c r="AF34" s="105">
        <f t="shared" ca="1" si="6"/>
        <v>-3.9008321775312105E-2</v>
      </c>
    </row>
    <row r="35" spans="2:32" x14ac:dyDescent="0.3">
      <c r="B35" s="104" vm="225">
        <f ca="1"/>
        <v>44585</v>
      </c>
      <c r="C35" s="104" vm="226">
        <f ca="1"/>
        <v>3110.85</v>
      </c>
      <c r="D35" s="105">
        <f t="shared" ca="1" si="0"/>
        <v>-5.0078629555552201E-2</v>
      </c>
      <c r="F35" s="104" vm="225">
        <f ca="1"/>
        <v>44585</v>
      </c>
      <c r="G35" s="104" vm="227">
        <f ca="1"/>
        <v>17101.95</v>
      </c>
      <c r="H35" s="105">
        <f t="shared" ca="1" si="1"/>
        <v>-2.9244230763772805E-2</v>
      </c>
      <c r="J35" s="281" t="s">
        <v>258</v>
      </c>
      <c r="K35" s="281"/>
      <c r="L35" s="281"/>
      <c r="N35" s="104" vm="225">
        <f ca="1"/>
        <v>44585</v>
      </c>
      <c r="O35" s="104" vm="228">
        <f ca="1"/>
        <v>378.28739999999999</v>
      </c>
      <c r="P35" s="105">
        <f t="shared" ca="1" si="2"/>
        <v>-9.2060734050056769E-3</v>
      </c>
      <c r="R35" s="104" vm="225">
        <f ca="1"/>
        <v>44585</v>
      </c>
      <c r="S35" s="104" vm="229">
        <f ca="1"/>
        <v>605.33090000000004</v>
      </c>
      <c r="T35" s="105">
        <f t="shared" ca="1" si="3"/>
        <v>-2.4639132483917248E-2</v>
      </c>
      <c r="V35" s="104" vm="225">
        <f ca="1"/>
        <v>44585</v>
      </c>
      <c r="W35" s="104" vm="230">
        <f ca="1"/>
        <v>1851.4640999999999</v>
      </c>
      <c r="X35" s="105">
        <f t="shared" ca="1" si="4"/>
        <v>-1.8296726906540273E-2</v>
      </c>
      <c r="Z35" s="104" vm="225">
        <f ca="1"/>
        <v>44585</v>
      </c>
      <c r="AA35" s="104" vm="231">
        <f ca="1"/>
        <v>1959.35</v>
      </c>
      <c r="AB35" s="105">
        <f t="shared" ca="1" si="5"/>
        <v>-2.7207506888762056E-2</v>
      </c>
      <c r="AD35" s="104" vm="225">
        <f ca="1"/>
        <v>44585</v>
      </c>
      <c r="AE35" s="104" vm="232">
        <f ca="1"/>
        <v>260.125</v>
      </c>
      <c r="AF35" s="105">
        <f t="shared" ca="1" si="6"/>
        <v>-6.1428829153887698E-2</v>
      </c>
    </row>
    <row r="36" spans="2:32" x14ac:dyDescent="0.3">
      <c r="B36" s="104" vm="233">
        <f ca="1"/>
        <v>44592</v>
      </c>
      <c r="C36" s="104" vm="234">
        <f ca="1"/>
        <v>3236.65</v>
      </c>
      <c r="D36" s="105">
        <f t="shared" ca="1" si="0"/>
        <v>4.043910828230235E-2</v>
      </c>
      <c r="F36" s="104" vm="233">
        <f ca="1"/>
        <v>44592</v>
      </c>
      <c r="G36" s="104" vm="235">
        <f ca="1"/>
        <v>17516.3</v>
      </c>
      <c r="H36" s="105">
        <f t="shared" ca="1" si="1"/>
        <v>2.4228231283567103E-2</v>
      </c>
      <c r="N36" s="104" vm="233">
        <f ca="1"/>
        <v>44592</v>
      </c>
      <c r="O36" s="104" vm="236">
        <f ca="1"/>
        <v>358.59039999999999</v>
      </c>
      <c r="P36" s="105">
        <f t="shared" ca="1" si="2"/>
        <v>-5.2068876732346947E-2</v>
      </c>
      <c r="R36" s="104" vm="233">
        <f ca="1"/>
        <v>44592</v>
      </c>
      <c r="S36" s="104" vm="237">
        <f ca="1"/>
        <v>612.66420000000005</v>
      </c>
      <c r="T36" s="105">
        <f t="shared" ca="1" si="3"/>
        <v>1.2114531077134894E-2</v>
      </c>
      <c r="V36" s="104" vm="233">
        <f ca="1"/>
        <v>44592</v>
      </c>
      <c r="W36" s="104" vm="238">
        <f ca="1"/>
        <v>1821.0251000000001</v>
      </c>
      <c r="X36" s="105">
        <f t="shared" ca="1" si="4"/>
        <v>-1.6440502411037783E-2</v>
      </c>
      <c r="Z36" s="104" vm="233">
        <f ca="1"/>
        <v>44592</v>
      </c>
      <c r="AA36" s="104" vm="239">
        <f ca="1"/>
        <v>1977.55</v>
      </c>
      <c r="AB36" s="105">
        <f t="shared" ca="1" si="5"/>
        <v>9.2887947533621951E-3</v>
      </c>
      <c r="AD36" s="104" vm="233">
        <f ca="1"/>
        <v>44592</v>
      </c>
      <c r="AE36" s="104" vm="240">
        <f ca="1"/>
        <v>255.25</v>
      </c>
      <c r="AF36" s="105">
        <f t="shared" ca="1" si="6"/>
        <v>-1.8740989908697769E-2</v>
      </c>
    </row>
    <row r="37" spans="2:32" x14ac:dyDescent="0.3">
      <c r="B37" s="104" vm="241">
        <f ca="1"/>
        <v>44599</v>
      </c>
      <c r="C37" s="104" vm="242">
        <f ca="1"/>
        <v>3216.3</v>
      </c>
      <c r="D37" s="105">
        <f t="shared" ca="1" si="0"/>
        <v>-6.2873650224769539E-3</v>
      </c>
      <c r="F37" s="104" vm="241">
        <f ca="1"/>
        <v>44599</v>
      </c>
      <c r="G37" s="104" vm="243">
        <f ca="1"/>
        <v>17374.75</v>
      </c>
      <c r="H37" s="105">
        <f t="shared" ca="1" si="1"/>
        <v>-8.0810445128252084E-3</v>
      </c>
      <c r="J37" t="s">
        <v>187</v>
      </c>
      <c r="L37" s="55">
        <f ca="1">_xlfn.COVARIANCE.S(X9:X269,$H$9:$H$269)/_xlfn.VAR.S($H$9:$H$269)</f>
        <v>0.42739972317559982</v>
      </c>
      <c r="N37" s="104" vm="241">
        <f ca="1"/>
        <v>44599</v>
      </c>
      <c r="O37" s="104" vm="244">
        <f ca="1"/>
        <v>329.94029999999998</v>
      </c>
      <c r="P37" s="105">
        <f t="shared" ca="1" si="2"/>
        <v>-7.9896450100169991E-2</v>
      </c>
      <c r="R37" s="104" vm="241">
        <f ca="1"/>
        <v>44599</v>
      </c>
      <c r="S37" s="104" vm="245">
        <f ca="1"/>
        <v>598.28930000000003</v>
      </c>
      <c r="T37" s="105">
        <f t="shared" ca="1" si="3"/>
        <v>-2.3462934508006184E-2</v>
      </c>
      <c r="V37" s="104" vm="241">
        <f ca="1"/>
        <v>44599</v>
      </c>
      <c r="W37" s="104" vm="246">
        <f ca="1"/>
        <v>1809.5387000000001</v>
      </c>
      <c r="X37" s="105">
        <f t="shared" ca="1" si="4"/>
        <v>-6.307656055921429E-3</v>
      </c>
      <c r="Z37" s="104" vm="241">
        <f ca="1"/>
        <v>44599</v>
      </c>
      <c r="AA37" s="104" vm="247">
        <f ca="1"/>
        <v>1933.65</v>
      </c>
      <c r="AB37" s="105">
        <f t="shared" ca="1" si="5"/>
        <v>-2.2199185861292992E-2</v>
      </c>
      <c r="AD37" s="104" vm="241">
        <f ca="1"/>
        <v>44599</v>
      </c>
      <c r="AE37" s="104" vm="248">
        <f ca="1"/>
        <v>241.55</v>
      </c>
      <c r="AF37" s="105">
        <f t="shared" ca="1" si="6"/>
        <v>-5.3672869735553297E-2</v>
      </c>
    </row>
    <row r="38" spans="2:32" x14ac:dyDescent="0.3">
      <c r="B38" s="104" vm="249">
        <f ca="1"/>
        <v>44606</v>
      </c>
      <c r="C38" s="104" vm="250">
        <f ca="1"/>
        <v>3258.45</v>
      </c>
      <c r="D38" s="105">
        <f t="shared" ca="1" si="0"/>
        <v>1.3105120790970926E-2</v>
      </c>
      <c r="F38" s="104" vm="249">
        <f ca="1"/>
        <v>44606</v>
      </c>
      <c r="G38" s="104" vm="251">
        <f ca="1"/>
        <v>17276.3</v>
      </c>
      <c r="H38" s="105">
        <f t="shared" ca="1" si="1"/>
        <v>-5.6662685794041101E-3</v>
      </c>
      <c r="J38" t="s">
        <v>182</v>
      </c>
      <c r="L38" s="55">
        <f ca="1">L37</f>
        <v>0.42739972317559982</v>
      </c>
      <c r="N38" s="104" vm="249">
        <f ca="1"/>
        <v>44606</v>
      </c>
      <c r="O38" s="104" vm="252">
        <f ca="1"/>
        <v>328.05020000000002</v>
      </c>
      <c r="P38" s="105">
        <f t="shared" ca="1" si="2"/>
        <v>-5.7286121155856184E-3</v>
      </c>
      <c r="R38" s="104" vm="249">
        <f ca="1"/>
        <v>44606</v>
      </c>
      <c r="S38" s="104" vm="253">
        <f ca="1"/>
        <v>614.83090000000004</v>
      </c>
      <c r="T38" s="105">
        <f t="shared" ca="1" si="3"/>
        <v>2.7648162853656233E-2</v>
      </c>
      <c r="V38" s="104" vm="249">
        <f ca="1"/>
        <v>44606</v>
      </c>
      <c r="W38" s="104" vm="254">
        <f ca="1"/>
        <v>1855.9150999999999</v>
      </c>
      <c r="X38" s="105">
        <f t="shared" ca="1" si="4"/>
        <v>2.5628852259418355E-2</v>
      </c>
      <c r="Z38" s="104" vm="249">
        <f ca="1"/>
        <v>44606</v>
      </c>
      <c r="AA38" s="104" vm="255">
        <f ca="1"/>
        <v>1760.2</v>
      </c>
      <c r="AB38" s="105">
        <f t="shared" ca="1" si="5"/>
        <v>-8.9700824864892836E-2</v>
      </c>
      <c r="AD38" s="104" vm="249">
        <f ca="1"/>
        <v>44606</v>
      </c>
      <c r="AE38" s="104" vm="256">
        <f ca="1"/>
        <v>235.7</v>
      </c>
      <c r="AF38" s="105">
        <f t="shared" ca="1" si="6"/>
        <v>-2.4218588283999254E-2</v>
      </c>
    </row>
    <row r="39" spans="2:32" x14ac:dyDescent="0.3">
      <c r="B39" s="104" vm="257">
        <f ca="1"/>
        <v>44613</v>
      </c>
      <c r="C39" s="104" vm="258">
        <f ca="1"/>
        <v>3119.2</v>
      </c>
      <c r="D39" s="105">
        <f t="shared" ca="1" si="0"/>
        <v>-4.2735042735042694E-2</v>
      </c>
      <c r="F39" s="104" vm="257">
        <f ca="1"/>
        <v>44613</v>
      </c>
      <c r="G39" s="104" vm="259">
        <f ca="1"/>
        <v>16658.400000000001</v>
      </c>
      <c r="H39" s="105">
        <f t="shared" ca="1" si="1"/>
        <v>-3.5765760029635829E-2</v>
      </c>
      <c r="J39" t="s">
        <v>183</v>
      </c>
      <c r="L39">
        <v>0.75</v>
      </c>
      <c r="N39" s="104" vm="257">
        <f ca="1"/>
        <v>44613</v>
      </c>
      <c r="O39" s="104" vm="260">
        <f ca="1"/>
        <v>299.00220000000002</v>
      </c>
      <c r="P39" s="105">
        <f t="shared" ca="1" si="2"/>
        <v>-8.8547423534568792E-2</v>
      </c>
      <c r="R39" s="104" vm="257">
        <f ca="1"/>
        <v>44613</v>
      </c>
      <c r="S39" s="104" vm="261">
        <f ca="1"/>
        <v>571.4144</v>
      </c>
      <c r="T39" s="105">
        <f t="shared" ca="1" si="3"/>
        <v>-7.0615351310417296E-2</v>
      </c>
      <c r="V39" s="104" vm="257">
        <f ca="1"/>
        <v>44613</v>
      </c>
      <c r="W39" s="104" vm="262">
        <f ca="1"/>
        <v>1790.5382999999999</v>
      </c>
      <c r="X39" s="105">
        <f t="shared" ca="1" si="4"/>
        <v>-3.5226180335512169E-2</v>
      </c>
      <c r="Z39" s="104" vm="257">
        <f ca="1"/>
        <v>44613</v>
      </c>
      <c r="AA39" s="104" vm="263">
        <f ca="1"/>
        <v>1747.5</v>
      </c>
      <c r="AB39" s="105">
        <f t="shared" ca="1" si="5"/>
        <v>-7.2150891944097184E-3</v>
      </c>
      <c r="AD39" s="104" vm="257">
        <f ca="1"/>
        <v>44613</v>
      </c>
      <c r="AE39" s="104" vm="264">
        <f ca="1"/>
        <v>211.27500000000001</v>
      </c>
      <c r="AF39" s="105">
        <f t="shared" ca="1" si="6"/>
        <v>-0.10362749257530757</v>
      </c>
    </row>
    <row r="40" spans="2:32" x14ac:dyDescent="0.3">
      <c r="B40" s="104" vm="265">
        <f ca="1"/>
        <v>44620</v>
      </c>
      <c r="C40" s="104" vm="266">
        <f ca="1"/>
        <v>2738.15</v>
      </c>
      <c r="D40" s="105">
        <f t="shared" ca="1" si="0"/>
        <v>-0.12216273403436773</v>
      </c>
      <c r="F40" s="104" vm="265">
        <f ca="1"/>
        <v>44620</v>
      </c>
      <c r="G40" s="104" vm="267">
        <f ca="1"/>
        <v>16245.35</v>
      </c>
      <c r="H40" s="105">
        <f t="shared" ca="1" si="1"/>
        <v>-2.4795298468040183E-2</v>
      </c>
      <c r="J40" t="s">
        <v>185</v>
      </c>
      <c r="L40">
        <v>1</v>
      </c>
      <c r="N40" s="104" vm="265">
        <f ca="1"/>
        <v>44620</v>
      </c>
      <c r="O40" s="104" vm="268">
        <f ca="1"/>
        <v>295.1225</v>
      </c>
      <c r="P40" s="105">
        <f t="shared" ca="1" si="2"/>
        <v>-1.2975489812449559E-2</v>
      </c>
      <c r="R40" s="104" vm="265">
        <f ca="1"/>
        <v>44620</v>
      </c>
      <c r="S40" s="104" vm="269">
        <f ca="1"/>
        <v>544.20619999999997</v>
      </c>
      <c r="T40" s="105">
        <f t="shared" ca="1" si="3"/>
        <v>-4.7615530865165567E-2</v>
      </c>
      <c r="V40" s="104" vm="265">
        <f ca="1"/>
        <v>44620</v>
      </c>
      <c r="W40" s="104" vm="270">
        <f ca="1"/>
        <v>1758.1370999999999</v>
      </c>
      <c r="X40" s="105">
        <f t="shared" ca="1" si="4"/>
        <v>-1.809578717193594E-2</v>
      </c>
      <c r="Z40" s="104" vm="265">
        <f ca="1"/>
        <v>44620</v>
      </c>
      <c r="AA40" s="104" vm="271">
        <f ca="1"/>
        <v>1648.1</v>
      </c>
      <c r="AB40" s="105">
        <f t="shared" ca="1" si="5"/>
        <v>-5.6881258941344881E-2</v>
      </c>
      <c r="AD40" s="104" vm="265">
        <f ca="1"/>
        <v>44620</v>
      </c>
      <c r="AE40" s="104" vm="272">
        <f ca="1"/>
        <v>204.07499999999999</v>
      </c>
      <c r="AF40" s="105">
        <f t="shared" ca="1" si="6"/>
        <v>-3.4078807241746611E-2</v>
      </c>
    </row>
    <row r="41" spans="2:32" x14ac:dyDescent="0.3">
      <c r="B41" s="104" vm="273">
        <f ca="1"/>
        <v>44627</v>
      </c>
      <c r="C41" s="104" vm="274">
        <f ca="1"/>
        <v>2932</v>
      </c>
      <c r="D41" s="105">
        <f t="shared" ca="1" si="0"/>
        <v>7.0795975384840171E-2</v>
      </c>
      <c r="F41" s="104" vm="273">
        <f ca="1"/>
        <v>44627</v>
      </c>
      <c r="G41" s="104" vm="275">
        <f ca="1"/>
        <v>16630.45</v>
      </c>
      <c r="H41" s="105">
        <f t="shared" ca="1" si="1"/>
        <v>2.3705244885459553E-2</v>
      </c>
      <c r="J41" t="s">
        <v>184</v>
      </c>
      <c r="L41">
        <v>0.25</v>
      </c>
      <c r="N41" s="104" vm="273">
        <f ca="1"/>
        <v>44627</v>
      </c>
      <c r="O41" s="104" vm="276">
        <f ca="1"/>
        <v>298.50479999999999</v>
      </c>
      <c r="P41" s="105">
        <f t="shared" ca="1" si="2"/>
        <v>1.1460664639259877E-2</v>
      </c>
      <c r="R41" s="104" vm="273">
        <f ca="1"/>
        <v>44627</v>
      </c>
      <c r="S41" s="104" vm="277">
        <f ca="1"/>
        <v>566.0394</v>
      </c>
      <c r="T41" s="105">
        <f t="shared" ca="1" si="3"/>
        <v>4.0119351819218663E-2</v>
      </c>
      <c r="V41" s="104" vm="273">
        <f ca="1"/>
        <v>44627</v>
      </c>
      <c r="W41" s="104" vm="278">
        <f ca="1"/>
        <v>1868.598</v>
      </c>
      <c r="X41" s="105">
        <f t="shared" ca="1" si="4"/>
        <v>6.282837669485497E-2</v>
      </c>
      <c r="Z41" s="104" vm="273">
        <f ca="1"/>
        <v>44627</v>
      </c>
      <c r="AA41" s="104" vm="279">
        <f ca="1"/>
        <v>1640.7</v>
      </c>
      <c r="AB41" s="105">
        <f t="shared" ca="1" si="5"/>
        <v>-4.4900188095381433E-3</v>
      </c>
      <c r="AD41" s="104" vm="273">
        <f ca="1"/>
        <v>44627</v>
      </c>
      <c r="AE41" s="104" vm="280">
        <f ca="1"/>
        <v>226.35</v>
      </c>
      <c r="AF41" s="105">
        <f t="shared" ca="1" si="6"/>
        <v>0.10915104740904091</v>
      </c>
    </row>
    <row r="42" spans="2:32" x14ac:dyDescent="0.3">
      <c r="B42" s="104" vm="281">
        <f ca="1"/>
        <v>44634</v>
      </c>
      <c r="C42" s="104" vm="282">
        <f ca="1"/>
        <v>3136.6</v>
      </c>
      <c r="D42" s="105">
        <f t="shared" ca="1" si="0"/>
        <v>6.9781718963165096E-2</v>
      </c>
      <c r="F42" s="104" vm="281">
        <f ca="1"/>
        <v>44634</v>
      </c>
      <c r="G42" s="104" vm="283">
        <f ca="1"/>
        <v>17287.05</v>
      </c>
      <c r="H42" s="105">
        <f t="shared" ca="1" si="1"/>
        <v>3.9481793938227705E-2</v>
      </c>
      <c r="N42" s="104" vm="281">
        <f ca="1"/>
        <v>44634</v>
      </c>
      <c r="O42" s="104" vm="284">
        <f ca="1"/>
        <v>315.58210000000003</v>
      </c>
      <c r="P42" s="105">
        <f t="shared" ca="1" si="2"/>
        <v>5.720946530843074E-2</v>
      </c>
      <c r="R42" s="104" vm="281">
        <f ca="1"/>
        <v>44634</v>
      </c>
      <c r="S42" s="104" vm="245">
        <f ca="1"/>
        <v>598.28930000000003</v>
      </c>
      <c r="T42" s="105">
        <f t="shared" ca="1" si="3"/>
        <v>5.6974655827845222E-2</v>
      </c>
      <c r="V42" s="104" vm="281">
        <f ca="1"/>
        <v>44634</v>
      </c>
      <c r="W42" s="104" vm="285">
        <f ca="1"/>
        <v>1857.8773000000001</v>
      </c>
      <c r="X42" s="105">
        <f t="shared" ca="1" si="4"/>
        <v>-5.7372960904378267E-3</v>
      </c>
      <c r="Z42" s="104" vm="281">
        <f ca="1"/>
        <v>44634</v>
      </c>
      <c r="AA42" s="104" vm="286">
        <f ca="1"/>
        <v>1636.7</v>
      </c>
      <c r="AB42" s="105">
        <f t="shared" ca="1" si="5"/>
        <v>-2.4379837874077825E-3</v>
      </c>
      <c r="AD42" s="104" vm="281">
        <f ca="1"/>
        <v>44634</v>
      </c>
      <c r="AE42" s="104" vm="287">
        <f ca="1"/>
        <v>232.35</v>
      </c>
      <c r="AF42" s="105">
        <f t="shared" ca="1" si="6"/>
        <v>2.6507620941020438E-2</v>
      </c>
    </row>
    <row r="43" spans="2:32" x14ac:dyDescent="0.3">
      <c r="B43" s="104" vm="288">
        <f ca="1"/>
        <v>44641</v>
      </c>
      <c r="C43" s="104" vm="289">
        <f ca="1"/>
        <v>3046.95</v>
      </c>
      <c r="D43" s="105">
        <f t="shared" ca="1" si="0"/>
        <v>-2.8581903972454303E-2</v>
      </c>
      <c r="F43" s="104" vm="288">
        <f ca="1"/>
        <v>44641</v>
      </c>
      <c r="G43" s="104" vm="290">
        <f ca="1"/>
        <v>17153</v>
      </c>
      <c r="H43" s="105">
        <f t="shared" ca="1" si="1"/>
        <v>-7.7543594771808388E-3</v>
      </c>
      <c r="J43" s="70" t="s">
        <v>186</v>
      </c>
      <c r="K43" s="70"/>
      <c r="L43" s="71">
        <f ca="1">(L38*L39)+L40*L41</f>
        <v>0.57054979238169989</v>
      </c>
      <c r="N43" s="104" vm="288">
        <f ca="1"/>
        <v>44641</v>
      </c>
      <c r="O43" s="104" vm="291">
        <f ca="1"/>
        <v>301.25709999999998</v>
      </c>
      <c r="P43" s="105">
        <f t="shared" ca="1" si="2"/>
        <v>-4.539230837236985E-2</v>
      </c>
      <c r="R43" s="104" vm="288">
        <f ca="1"/>
        <v>44641</v>
      </c>
      <c r="S43" s="104" vm="292">
        <f ca="1"/>
        <v>573.83100000000002</v>
      </c>
      <c r="T43" s="105">
        <f t="shared" ca="1" si="3"/>
        <v>-4.0880390139018008E-2</v>
      </c>
      <c r="V43" s="104" vm="288">
        <f ca="1"/>
        <v>44641</v>
      </c>
      <c r="W43" s="104" vm="293">
        <f ca="1"/>
        <v>1861.6583000000001</v>
      </c>
      <c r="X43" s="105">
        <f t="shared" ca="1" si="4"/>
        <v>2.0351182502740262E-3</v>
      </c>
      <c r="Z43" s="104" vm="288">
        <f ca="1"/>
        <v>44641</v>
      </c>
      <c r="AA43" s="104" vm="294">
        <f ca="1"/>
        <v>1531.4</v>
      </c>
      <c r="AB43" s="105">
        <f t="shared" ca="1" si="5"/>
        <v>-6.4336775218427289E-2</v>
      </c>
      <c r="AD43" s="104" vm="288">
        <f ca="1"/>
        <v>44641</v>
      </c>
      <c r="AE43" s="104" vm="295">
        <f ca="1"/>
        <v>232.82499999999999</v>
      </c>
      <c r="AF43" s="105">
        <f t="shared" ca="1" si="6"/>
        <v>2.0443296750591866E-3</v>
      </c>
    </row>
    <row r="44" spans="2:32" x14ac:dyDescent="0.3">
      <c r="B44" s="104" vm="296">
        <f ca="1"/>
        <v>44648</v>
      </c>
      <c r="C44" s="104" vm="297">
        <f ca="1"/>
        <v>3114.15</v>
      </c>
      <c r="D44" s="105">
        <f t="shared" ca="1" si="0"/>
        <v>2.2054841726973029E-2</v>
      </c>
      <c r="F44" s="104" vm="296">
        <f ca="1"/>
        <v>44648</v>
      </c>
      <c r="G44" s="104" vm="298">
        <f ca="1"/>
        <v>17670.45</v>
      </c>
      <c r="H44" s="105">
        <f t="shared" ca="1" si="1"/>
        <v>3.0166734681979834E-2</v>
      </c>
      <c r="N44" s="104" vm="296">
        <f ca="1"/>
        <v>44648</v>
      </c>
      <c r="O44" s="104" vm="299">
        <f ca="1"/>
        <v>311.56979999999999</v>
      </c>
      <c r="P44" s="105">
        <f t="shared" ca="1" si="2"/>
        <v>3.4232222244720667E-2</v>
      </c>
      <c r="R44" s="104" vm="296">
        <f ca="1"/>
        <v>44648</v>
      </c>
      <c r="S44" s="104" vm="300">
        <f ca="1"/>
        <v>592.99760000000003</v>
      </c>
      <c r="T44" s="105">
        <f t="shared" ca="1" si="3"/>
        <v>3.3401123327251536E-2</v>
      </c>
      <c r="V44" s="104" vm="296">
        <f ca="1"/>
        <v>44648</v>
      </c>
      <c r="W44" s="104" vm="301">
        <f ca="1"/>
        <v>1840.4084</v>
      </c>
      <c r="X44" s="105">
        <f t="shared" ca="1" si="4"/>
        <v>-1.1414500716914633E-2</v>
      </c>
      <c r="Z44" s="104" vm="296">
        <f ca="1"/>
        <v>44648</v>
      </c>
      <c r="AA44" s="104" vm="302">
        <f ca="1"/>
        <v>1616.8</v>
      </c>
      <c r="AB44" s="105">
        <f t="shared" ca="1" si="5"/>
        <v>5.5765965782943683E-2</v>
      </c>
      <c r="AD44" s="104" vm="296">
        <f ca="1"/>
        <v>44648</v>
      </c>
      <c r="AE44" s="104" vm="303">
        <f ca="1"/>
        <v>242.375</v>
      </c>
      <c r="AF44" s="105">
        <f t="shared" ca="1" si="6"/>
        <v>4.1017931923118311E-2</v>
      </c>
    </row>
    <row r="45" spans="2:32" x14ac:dyDescent="0.3">
      <c r="B45" s="104" vm="304">
        <f ca="1"/>
        <v>44655</v>
      </c>
      <c r="C45" s="104" vm="305">
        <f ca="1"/>
        <v>3206.25</v>
      </c>
      <c r="D45" s="105">
        <f t="shared" ca="1" si="0"/>
        <v>2.9574683300419125E-2</v>
      </c>
      <c r="F45" s="104" vm="304">
        <f ca="1"/>
        <v>44655</v>
      </c>
      <c r="G45" s="104" vm="306">
        <f ca="1"/>
        <v>17784.349999999999</v>
      </c>
      <c r="H45" s="105">
        <f t="shared" ca="1" si="1"/>
        <v>6.4457894394311932E-3</v>
      </c>
      <c r="J45" s="281" t="s">
        <v>259</v>
      </c>
      <c r="K45" s="281"/>
      <c r="L45" s="281"/>
      <c r="N45" s="104" vm="304">
        <f ca="1"/>
        <v>44655</v>
      </c>
      <c r="O45" s="104" vm="307">
        <f ca="1"/>
        <v>307.85590000000002</v>
      </c>
      <c r="P45" s="105">
        <f t="shared" ca="1" si="2"/>
        <v>-1.1919961434002757E-2</v>
      </c>
      <c r="R45" s="104" vm="304">
        <f ca="1"/>
        <v>44655</v>
      </c>
      <c r="S45" s="104" vm="308">
        <f ca="1"/>
        <v>612.16420000000005</v>
      </c>
      <c r="T45" s="105">
        <f t="shared" ca="1" si="3"/>
        <v>3.2321547338471479E-2</v>
      </c>
      <c r="V45" s="104" vm="304">
        <f ca="1"/>
        <v>44655</v>
      </c>
      <c r="W45" s="104" vm="309">
        <f ca="1"/>
        <v>1832.8466000000001</v>
      </c>
      <c r="X45" s="105">
        <f t="shared" ca="1" si="4"/>
        <v>-4.1087619465330905E-3</v>
      </c>
      <c r="Z45" s="104" vm="304">
        <f ca="1"/>
        <v>44655</v>
      </c>
      <c r="AA45" s="104" vm="310">
        <f ca="1"/>
        <v>1673.65</v>
      </c>
      <c r="AB45" s="105">
        <f t="shared" ca="1" si="5"/>
        <v>3.5162048490846143E-2</v>
      </c>
      <c r="AD45" s="104" vm="304">
        <f ca="1"/>
        <v>44655</v>
      </c>
      <c r="AE45" s="104" vm="311">
        <f ca="1"/>
        <v>256.625</v>
      </c>
      <c r="AF45" s="105">
        <f t="shared" ca="1" si="6"/>
        <v>5.8793192367199598E-2</v>
      </c>
    </row>
    <row r="46" spans="2:32" x14ac:dyDescent="0.3">
      <c r="B46" s="104" vm="312">
        <f ca="1"/>
        <v>44662</v>
      </c>
      <c r="C46" s="104" vm="313">
        <f ca="1"/>
        <v>3080.65</v>
      </c>
      <c r="D46" s="105">
        <f t="shared" ca="1" si="0"/>
        <v>-3.9173489278752416E-2</v>
      </c>
      <c r="F46" s="104" vm="312">
        <f ca="1"/>
        <v>44662</v>
      </c>
      <c r="G46" s="104" vm="314">
        <f ca="1"/>
        <v>17475.650000000001</v>
      </c>
      <c r="H46" s="105">
        <f t="shared" ca="1" si="1"/>
        <v>-1.7357957979909133E-2</v>
      </c>
      <c r="N46" s="104" vm="312">
        <f ca="1"/>
        <v>44662</v>
      </c>
      <c r="O46" s="104" vm="315">
        <f ca="1"/>
        <v>308.4196</v>
      </c>
      <c r="P46" s="105">
        <f t="shared" ca="1" si="2"/>
        <v>1.8310514757065022E-3</v>
      </c>
      <c r="R46" s="104" vm="312">
        <f ca="1"/>
        <v>44662</v>
      </c>
      <c r="S46" s="104" vm="316">
        <f ca="1"/>
        <v>603.45590000000004</v>
      </c>
      <c r="T46" s="105">
        <f t="shared" ca="1" si="3"/>
        <v>-1.4225431673397404E-2</v>
      </c>
      <c r="V46" s="104" vm="312">
        <f ca="1"/>
        <v>44662</v>
      </c>
      <c r="W46" s="104" vm="317">
        <f ca="1"/>
        <v>1814.1812</v>
      </c>
      <c r="X46" s="105">
        <f t="shared" ca="1" si="4"/>
        <v>-1.0183830987274156E-2</v>
      </c>
      <c r="Z46" s="104" vm="312">
        <f ca="1"/>
        <v>44662</v>
      </c>
      <c r="AA46" s="104" vm="318">
        <f ca="1"/>
        <v>1621.8</v>
      </c>
      <c r="AB46" s="105">
        <f t="shared" ca="1" si="5"/>
        <v>-3.0980192991366229E-2</v>
      </c>
      <c r="AD46" s="104" vm="312">
        <f ca="1"/>
        <v>44662</v>
      </c>
      <c r="AE46" s="104" vm="319">
        <f ca="1"/>
        <v>252.82499999999999</v>
      </c>
      <c r="AF46" s="105">
        <f t="shared" ca="1" si="6"/>
        <v>-1.4807598636142227E-2</v>
      </c>
    </row>
    <row r="47" spans="2:32" x14ac:dyDescent="0.3">
      <c r="B47" s="104" vm="320">
        <f ca="1"/>
        <v>44669</v>
      </c>
      <c r="C47" s="104" vm="321">
        <f ca="1"/>
        <v>3164.4</v>
      </c>
      <c r="D47" s="105">
        <f t="shared" ca="1" si="0"/>
        <v>2.7185821174102953E-2</v>
      </c>
      <c r="F47" s="104" vm="320">
        <f ca="1"/>
        <v>44669</v>
      </c>
      <c r="G47" s="104" vm="322">
        <f ca="1"/>
        <v>17171.95</v>
      </c>
      <c r="H47" s="105">
        <f t="shared" ca="1" si="1"/>
        <v>-1.7378466609253462E-2</v>
      </c>
      <c r="J47" t="s">
        <v>187</v>
      </c>
      <c r="L47" s="55">
        <f ca="1">_xlfn.COVARIANCE.S(AB9:AB269,$H$9:$H$269)/_xlfn.VAR.S($H$9:$H$269)</f>
        <v>0.83879713777599585</v>
      </c>
      <c r="N47" s="104" vm="320">
        <f ca="1"/>
        <v>44669</v>
      </c>
      <c r="O47" s="104" vm="299">
        <f ca="1"/>
        <v>311.56979999999999</v>
      </c>
      <c r="P47" s="105">
        <f t="shared" ca="1" si="2"/>
        <v>1.0214007151296389E-2</v>
      </c>
      <c r="R47" s="104" vm="320">
        <f ca="1"/>
        <v>44669</v>
      </c>
      <c r="S47" s="104" vm="323">
        <f ca="1"/>
        <v>597.20590000000004</v>
      </c>
      <c r="T47" s="105">
        <f t="shared" ca="1" si="3"/>
        <v>-1.0357012003694099E-2</v>
      </c>
      <c r="V47" s="104" vm="320">
        <f ca="1"/>
        <v>44669</v>
      </c>
      <c r="W47" s="104" vm="324">
        <f ca="1"/>
        <v>1807.6722</v>
      </c>
      <c r="X47" s="105">
        <f t="shared" ca="1" si="4"/>
        <v>-3.587844477718094E-3</v>
      </c>
      <c r="Z47" s="104" vm="320">
        <f ca="1"/>
        <v>44669</v>
      </c>
      <c r="AA47" s="104" vm="325">
        <f ca="1"/>
        <v>1556.9</v>
      </c>
      <c r="AB47" s="105">
        <f t="shared" ca="1" si="5"/>
        <v>-4.0017264767542193E-2</v>
      </c>
      <c r="AD47" s="104" vm="320">
        <f ca="1"/>
        <v>44669</v>
      </c>
      <c r="AE47" s="104" vm="326">
        <f ca="1"/>
        <v>269.85000000000002</v>
      </c>
      <c r="AF47" s="105">
        <f t="shared" ca="1" si="6"/>
        <v>6.7339068525660073E-2</v>
      </c>
    </row>
    <row r="48" spans="2:32" x14ac:dyDescent="0.3">
      <c r="B48" s="104" vm="327">
        <f ca="1"/>
        <v>44676</v>
      </c>
      <c r="C48" s="104" vm="328">
        <f ca="1"/>
        <v>3237.2</v>
      </c>
      <c r="D48" s="105">
        <f t="shared" ca="1" si="0"/>
        <v>2.3005941094678128E-2</v>
      </c>
      <c r="F48" s="104" vm="327">
        <f ca="1"/>
        <v>44676</v>
      </c>
      <c r="G48" s="104" vm="329">
        <f ca="1"/>
        <v>17102.55</v>
      </c>
      <c r="H48" s="105">
        <f t="shared" ca="1" si="1"/>
        <v>-4.0414746141237412E-3</v>
      </c>
      <c r="J48" t="s">
        <v>182</v>
      </c>
      <c r="L48" s="55">
        <f ca="1">L47</f>
        <v>0.83879713777599585</v>
      </c>
      <c r="N48" s="104" vm="327">
        <f ca="1"/>
        <v>44676</v>
      </c>
      <c r="O48" s="104" vm="330">
        <f ca="1"/>
        <v>311.404</v>
      </c>
      <c r="P48" s="105">
        <f t="shared" ca="1" si="2"/>
        <v>-5.3214400111945004E-4</v>
      </c>
      <c r="R48" s="104" vm="327">
        <f ca="1"/>
        <v>44676</v>
      </c>
      <c r="S48" s="104" vm="245">
        <f ca="1"/>
        <v>598.28930000000003</v>
      </c>
      <c r="T48" s="105">
        <f t="shared" ca="1" si="3"/>
        <v>1.8141146964556487E-3</v>
      </c>
      <c r="V48" s="104" vm="327">
        <f ca="1"/>
        <v>44676</v>
      </c>
      <c r="W48" s="104" vm="331">
        <f ca="1"/>
        <v>1798.0523000000001</v>
      </c>
      <c r="X48" s="105">
        <f t="shared" ca="1" si="4"/>
        <v>-5.3217060039978392E-3</v>
      </c>
      <c r="Z48" s="104" vm="327">
        <f ca="1"/>
        <v>44676</v>
      </c>
      <c r="AA48" s="104" vm="332">
        <f ca="1"/>
        <v>1556</v>
      </c>
      <c r="AB48" s="105">
        <f t="shared" ca="1" si="5"/>
        <v>-5.7807180936486624E-4</v>
      </c>
      <c r="AD48" s="104" vm="327">
        <f ca="1"/>
        <v>44676</v>
      </c>
      <c r="AE48" s="104" vm="333">
        <f ca="1"/>
        <v>249.17500000000001</v>
      </c>
      <c r="AF48" s="105">
        <f t="shared" ca="1" si="6"/>
        <v>-7.6616638873448273E-2</v>
      </c>
    </row>
    <row r="49" spans="2:32" x14ac:dyDescent="0.3">
      <c r="B49" s="104" vm="334">
        <f ca="1"/>
        <v>44683</v>
      </c>
      <c r="C49" s="104" vm="335">
        <f ca="1"/>
        <v>3016.25</v>
      </c>
      <c r="D49" s="105">
        <f t="shared" ca="1" si="0"/>
        <v>-6.8253428889163414E-2</v>
      </c>
      <c r="F49" s="104" vm="334">
        <f ca="1"/>
        <v>44683</v>
      </c>
      <c r="G49" s="104" vm="336">
        <f ca="1"/>
        <v>16411.25</v>
      </c>
      <c r="H49" s="105">
        <f t="shared" ca="1" si="1"/>
        <v>-4.0420872910764682E-2</v>
      </c>
      <c r="J49" t="s">
        <v>183</v>
      </c>
      <c r="L49">
        <v>0.75</v>
      </c>
      <c r="N49" s="104" vm="334">
        <f ca="1"/>
        <v>44683</v>
      </c>
      <c r="O49" s="104" vm="337">
        <f ca="1"/>
        <v>299.30059999999997</v>
      </c>
      <c r="P49" s="105">
        <f t="shared" ca="1" si="2"/>
        <v>-3.8867195026396684E-2</v>
      </c>
      <c r="R49" s="104" vm="334">
        <f ca="1"/>
        <v>44683</v>
      </c>
      <c r="S49" s="104" vm="338">
        <f ca="1"/>
        <v>555.58109999999999</v>
      </c>
      <c r="T49" s="105">
        <f t="shared" ca="1" si="3"/>
        <v>-7.1383860617263317E-2</v>
      </c>
      <c r="V49" s="104" vm="334">
        <f ca="1"/>
        <v>44683</v>
      </c>
      <c r="W49" s="104" vm="339">
        <f ca="1"/>
        <v>1752.346</v>
      </c>
      <c r="X49" s="105">
        <f t="shared" ca="1" si="4"/>
        <v>-2.5419894627091821E-2</v>
      </c>
      <c r="Z49" s="104" vm="334">
        <f ca="1"/>
        <v>44683</v>
      </c>
      <c r="AA49" s="104" vm="340">
        <f ca="1"/>
        <v>1490.95</v>
      </c>
      <c r="AB49" s="105">
        <f t="shared" ca="1" si="5"/>
        <v>-4.1805912596400985E-2</v>
      </c>
      <c r="AD49" s="104" vm="334">
        <f ca="1"/>
        <v>44683</v>
      </c>
      <c r="AE49" s="104" vm="341">
        <f ca="1"/>
        <v>238.07499999999999</v>
      </c>
      <c r="AF49" s="105">
        <f t="shared" ca="1" si="6"/>
        <v>-4.4547005116885807E-2</v>
      </c>
    </row>
    <row r="50" spans="2:32" x14ac:dyDescent="0.3">
      <c r="B50" s="104" vm="342">
        <f ca="1"/>
        <v>44690</v>
      </c>
      <c r="C50" s="104" vm="343">
        <f ca="1"/>
        <v>3064</v>
      </c>
      <c r="D50" s="105">
        <f t="shared" ca="1" si="0"/>
        <v>1.5830915872357965E-2</v>
      </c>
      <c r="F50" s="104" vm="342">
        <f ca="1"/>
        <v>44690</v>
      </c>
      <c r="G50" s="104" vm="344">
        <f ca="1"/>
        <v>15782.15</v>
      </c>
      <c r="H50" s="105">
        <f t="shared" ca="1" si="1"/>
        <v>-3.8333460278772158E-2</v>
      </c>
      <c r="J50" t="s">
        <v>185</v>
      </c>
      <c r="L50">
        <v>1</v>
      </c>
      <c r="N50" s="104" vm="342">
        <f ca="1"/>
        <v>44690</v>
      </c>
      <c r="O50" s="104" vm="345">
        <f ca="1"/>
        <v>264.01859999999999</v>
      </c>
      <c r="P50" s="105">
        <f t="shared" ca="1" si="2"/>
        <v>-0.11788148770834406</v>
      </c>
      <c r="R50" s="104" vm="342">
        <f ca="1"/>
        <v>44690</v>
      </c>
      <c r="S50" s="104" vm="346">
        <f ca="1"/>
        <v>547.08109999999999</v>
      </c>
      <c r="T50" s="105">
        <f t="shared" ca="1" si="3"/>
        <v>-1.5299296538345164E-2</v>
      </c>
      <c r="V50" s="104" vm="342">
        <f ca="1"/>
        <v>44690</v>
      </c>
      <c r="W50" s="104" vm="347">
        <f ca="1"/>
        <v>1688.9793999999999</v>
      </c>
      <c r="X50" s="105">
        <f t="shared" ca="1" si="4"/>
        <v>-3.6161009298392055E-2</v>
      </c>
      <c r="Z50" s="104" vm="342">
        <f ca="1"/>
        <v>44690</v>
      </c>
      <c r="AA50" s="104" vm="348">
        <f ca="1"/>
        <v>1443.85</v>
      </c>
      <c r="AB50" s="105">
        <f t="shared" ca="1" si="5"/>
        <v>-3.15905965994836E-2</v>
      </c>
      <c r="AD50" s="104" vm="342">
        <f ca="1"/>
        <v>44690</v>
      </c>
      <c r="AE50" s="104" vm="349">
        <f ca="1"/>
        <v>216.5</v>
      </c>
      <c r="AF50" s="105">
        <f t="shared" ca="1" si="6"/>
        <v>-9.0622702929748944E-2</v>
      </c>
    </row>
    <row r="51" spans="2:32" x14ac:dyDescent="0.3">
      <c r="B51" s="104" vm="350">
        <f ca="1"/>
        <v>44697</v>
      </c>
      <c r="C51" s="104" vm="351">
        <f ca="1"/>
        <v>3109.95</v>
      </c>
      <c r="D51" s="105">
        <f t="shared" ca="1" si="0"/>
        <v>1.4996736292428148E-2</v>
      </c>
      <c r="F51" s="104" vm="350">
        <f ca="1"/>
        <v>44697</v>
      </c>
      <c r="G51" s="104" vm="352">
        <f ca="1"/>
        <v>16266.15</v>
      </c>
      <c r="H51" s="105">
        <f t="shared" ca="1" si="1"/>
        <v>3.0667557968971249E-2</v>
      </c>
      <c r="J51" t="s">
        <v>184</v>
      </c>
      <c r="L51">
        <v>0.25</v>
      </c>
      <c r="N51" s="104" vm="350">
        <f ca="1"/>
        <v>44697</v>
      </c>
      <c r="O51" s="104" vm="353">
        <f ca="1"/>
        <v>264.41649999999998</v>
      </c>
      <c r="P51" s="105">
        <f t="shared" ca="1" si="2"/>
        <v>1.5070907883005802E-3</v>
      </c>
      <c r="R51" s="104" vm="350">
        <f ca="1"/>
        <v>44697</v>
      </c>
      <c r="S51" s="104" vm="354">
        <f ca="1"/>
        <v>525.28959999999995</v>
      </c>
      <c r="T51" s="105">
        <f t="shared" ca="1" si="3"/>
        <v>-3.9832302742683012E-2</v>
      </c>
      <c r="V51" s="104" vm="350">
        <f ca="1"/>
        <v>44697</v>
      </c>
      <c r="W51" s="104" vm="355">
        <f ca="1"/>
        <v>1708.4584</v>
      </c>
      <c r="X51" s="105">
        <f t="shared" ca="1" si="4"/>
        <v>1.1533000343284305E-2</v>
      </c>
      <c r="Z51" s="104" vm="350">
        <f ca="1"/>
        <v>44697</v>
      </c>
      <c r="AA51" s="104" vm="356">
        <f ca="1"/>
        <v>1620.05</v>
      </c>
      <c r="AB51" s="105">
        <f t="shared" ca="1" si="5"/>
        <v>0.1220348374138589</v>
      </c>
      <c r="AD51" s="104" vm="350">
        <f ca="1"/>
        <v>44697</v>
      </c>
      <c r="AE51" s="104" vm="357">
        <f ca="1"/>
        <v>219.9</v>
      </c>
      <c r="AF51" s="105">
        <f t="shared" ca="1" si="6"/>
        <v>1.5704387990762125E-2</v>
      </c>
    </row>
    <row r="52" spans="2:32" x14ac:dyDescent="0.3">
      <c r="B52" s="104" vm="358">
        <f ca="1"/>
        <v>44704</v>
      </c>
      <c r="C52" s="104" vm="359">
        <f ca="1"/>
        <v>2834.85</v>
      </c>
      <c r="D52" s="105">
        <f t="shared" ca="1" si="0"/>
        <v>-8.8458013794433965E-2</v>
      </c>
      <c r="F52" s="104" vm="358">
        <f ca="1"/>
        <v>44704</v>
      </c>
      <c r="G52" s="104" vm="360">
        <f ca="1"/>
        <v>16352.45</v>
      </c>
      <c r="H52" s="105">
        <f t="shared" ca="1" si="1"/>
        <v>5.3054963835941216E-3</v>
      </c>
      <c r="N52" s="104" vm="358">
        <f ca="1"/>
        <v>44704</v>
      </c>
      <c r="O52" s="104" vm="361">
        <f ca="1"/>
        <v>268.49520000000001</v>
      </c>
      <c r="P52" s="105">
        <f t="shared" ca="1" si="2"/>
        <v>1.542528548710087E-2</v>
      </c>
      <c r="R52" s="104" vm="358">
        <f ca="1"/>
        <v>44704</v>
      </c>
      <c r="S52" s="104" vm="362">
        <f ca="1"/>
        <v>479.37310000000002</v>
      </c>
      <c r="T52" s="105">
        <f t="shared" ca="1" si="3"/>
        <v>-8.7411781996064475E-2</v>
      </c>
      <c r="V52" s="104" vm="358">
        <f ca="1"/>
        <v>44704</v>
      </c>
      <c r="W52" s="104" vm="363">
        <f ca="1"/>
        <v>1663.8050000000001</v>
      </c>
      <c r="X52" s="105">
        <f t="shared" ca="1" si="4"/>
        <v>-2.6136662151094781E-2</v>
      </c>
      <c r="Z52" s="104" vm="358">
        <f ca="1"/>
        <v>44704</v>
      </c>
      <c r="AA52" s="104" vm="364">
        <f ca="1"/>
        <v>1577.45</v>
      </c>
      <c r="AB52" s="105">
        <f t="shared" ca="1" si="5"/>
        <v>-2.6295484707262062E-2</v>
      </c>
      <c r="AD52" s="104" vm="358">
        <f ca="1"/>
        <v>44704</v>
      </c>
      <c r="AE52" s="104" vm="365">
        <f ca="1"/>
        <v>224.125</v>
      </c>
      <c r="AF52" s="105">
        <f t="shared" ca="1" si="6"/>
        <v>1.9213278763074104E-2</v>
      </c>
    </row>
    <row r="53" spans="2:32" x14ac:dyDescent="0.3">
      <c r="B53" s="104" vm="366">
        <f ca="1"/>
        <v>44711</v>
      </c>
      <c r="C53" s="104" vm="367">
        <f ca="1"/>
        <v>2886.9</v>
      </c>
      <c r="D53" s="105">
        <f t="shared" ca="1" si="0"/>
        <v>1.8360759828562445E-2</v>
      </c>
      <c r="F53" s="104" vm="366">
        <f ca="1"/>
        <v>44711</v>
      </c>
      <c r="G53" s="104" vm="368">
        <f ca="1"/>
        <v>16584.3</v>
      </c>
      <c r="H53" s="105">
        <f t="shared" ca="1" si="1"/>
        <v>1.4178303556959371E-2</v>
      </c>
      <c r="J53" s="70" t="s">
        <v>186</v>
      </c>
      <c r="K53" s="70"/>
      <c r="L53" s="71">
        <f ca="1">(L48*L49)+L50*L51</f>
        <v>0.87909785333199686</v>
      </c>
      <c r="N53" s="104" vm="366">
        <f ca="1"/>
        <v>44711</v>
      </c>
      <c r="O53" s="104" vm="369">
        <f ca="1"/>
        <v>273.80070000000001</v>
      </c>
      <c r="P53" s="105">
        <f t="shared" ca="1" si="2"/>
        <v>1.9760129790029834E-2</v>
      </c>
      <c r="R53" s="104" vm="366">
        <f ca="1"/>
        <v>44711</v>
      </c>
      <c r="S53" s="104" vm="370">
        <f ca="1"/>
        <v>507.41460000000001</v>
      </c>
      <c r="T53" s="105">
        <f t="shared" ca="1" si="3"/>
        <v>5.8496190128315417E-2</v>
      </c>
      <c r="V53" s="104" vm="366">
        <f ca="1"/>
        <v>44711</v>
      </c>
      <c r="W53" s="104" vm="371">
        <f ca="1"/>
        <v>1718.8440000000001</v>
      </c>
      <c r="X53" s="105">
        <f t="shared" ca="1" si="4"/>
        <v>3.3080198701169961E-2</v>
      </c>
      <c r="Z53" s="104" vm="366">
        <f ca="1"/>
        <v>44711</v>
      </c>
      <c r="AA53" s="104" vm="372">
        <f ca="1"/>
        <v>1571.5</v>
      </c>
      <c r="AB53" s="105">
        <f t="shared" ca="1" si="5"/>
        <v>-3.7719103616596916E-3</v>
      </c>
      <c r="AD53" s="104" vm="366">
        <f ca="1"/>
        <v>44711</v>
      </c>
      <c r="AE53" s="104" vm="373">
        <f ca="1"/>
        <v>225.65</v>
      </c>
      <c r="AF53" s="105">
        <f t="shared" ca="1" si="6"/>
        <v>6.8042387060791576E-3</v>
      </c>
    </row>
    <row r="54" spans="2:32" x14ac:dyDescent="0.3">
      <c r="B54" s="104" vm="374">
        <f ca="1"/>
        <v>44718</v>
      </c>
      <c r="C54" s="104" vm="375">
        <f ca="1"/>
        <v>2708.75</v>
      </c>
      <c r="D54" s="105">
        <f t="shared" ca="1" si="0"/>
        <v>-6.1709792510997952E-2</v>
      </c>
      <c r="F54" s="104" vm="374">
        <f ca="1"/>
        <v>44718</v>
      </c>
      <c r="G54" s="104" vm="376">
        <f ca="1"/>
        <v>16201.8</v>
      </c>
      <c r="H54" s="105">
        <f t="shared" ca="1" si="1"/>
        <v>-2.3063982200032584E-2</v>
      </c>
      <c r="N54" s="104" vm="374">
        <f ca="1"/>
        <v>44718</v>
      </c>
      <c r="O54" s="104" vm="377">
        <f ca="1"/>
        <v>264.68180000000001</v>
      </c>
      <c r="P54" s="105">
        <f t="shared" ca="1" si="2"/>
        <v>-3.3304881981675027E-2</v>
      </c>
      <c r="R54" s="104" vm="374">
        <f ca="1"/>
        <v>44718</v>
      </c>
      <c r="S54" s="104" vm="378">
        <f ca="1"/>
        <v>483.95639999999997</v>
      </c>
      <c r="T54" s="105">
        <f t="shared" ca="1" si="3"/>
        <v>-4.6230833720590669E-2</v>
      </c>
      <c r="V54" s="104" vm="374">
        <f ca="1"/>
        <v>44718</v>
      </c>
      <c r="W54" s="104" vm="379">
        <f ca="1"/>
        <v>1709.3678</v>
      </c>
      <c r="X54" s="105">
        <f t="shared" ca="1" si="4"/>
        <v>-5.5131239367854912E-3</v>
      </c>
      <c r="Z54" s="104" vm="374">
        <f ca="1"/>
        <v>44718</v>
      </c>
      <c r="AA54" s="104" vm="380">
        <f ca="1"/>
        <v>1549.9</v>
      </c>
      <c r="AB54" s="105">
        <f t="shared" ca="1" si="5"/>
        <v>-1.3744829780464429E-2</v>
      </c>
      <c r="AD54" s="104" vm="374">
        <f ca="1"/>
        <v>44718</v>
      </c>
      <c r="AE54" s="104" vm="381">
        <f ca="1"/>
        <v>224.22499999999999</v>
      </c>
      <c r="AF54" s="105">
        <f t="shared" ca="1" si="6"/>
        <v>-6.3150897407490136E-3</v>
      </c>
    </row>
    <row r="55" spans="2:32" x14ac:dyDescent="0.3">
      <c r="B55" s="104" vm="382">
        <f ca="1"/>
        <v>44725</v>
      </c>
      <c r="C55" s="104" vm="383">
        <f ca="1"/>
        <v>2580.1999999999998</v>
      </c>
      <c r="D55" s="105">
        <f t="shared" ca="1" si="0"/>
        <v>-4.7457314259344741E-2</v>
      </c>
      <c r="F55" s="104" vm="382">
        <f ca="1"/>
        <v>44725</v>
      </c>
      <c r="G55" s="104" vm="384">
        <f ca="1"/>
        <v>15293.5</v>
      </c>
      <c r="H55" s="105">
        <f t="shared" ca="1" si="1"/>
        <v>-5.6061672159883447E-2</v>
      </c>
      <c r="J55" s="281" t="s">
        <v>260</v>
      </c>
      <c r="K55" s="281"/>
      <c r="L55" s="281"/>
      <c r="N55" s="104" vm="382">
        <f ca="1"/>
        <v>44725</v>
      </c>
      <c r="O55" s="104" vm="385">
        <f ca="1"/>
        <v>245.94649999999999</v>
      </c>
      <c r="P55" s="105">
        <f t="shared" ca="1" si="2"/>
        <v>-7.07842397928381E-2</v>
      </c>
      <c r="R55" s="104" vm="382">
        <f ca="1"/>
        <v>44725</v>
      </c>
      <c r="S55" s="104" vm="386">
        <f ca="1"/>
        <v>467.28980000000001</v>
      </c>
      <c r="T55" s="105">
        <f t="shared" ca="1" si="3"/>
        <v>-3.4438226253439286E-2</v>
      </c>
      <c r="V55" s="104" vm="382">
        <f ca="1"/>
        <v>44725</v>
      </c>
      <c r="W55" s="104" vm="387">
        <f ca="1"/>
        <v>1628.7715000000001</v>
      </c>
      <c r="X55" s="105">
        <f t="shared" ca="1" si="4"/>
        <v>-4.7149770810003488E-2</v>
      </c>
      <c r="Z55" s="104" vm="382">
        <f ca="1"/>
        <v>44725</v>
      </c>
      <c r="AA55" s="104" vm="388">
        <f ca="1"/>
        <v>1430.4</v>
      </c>
      <c r="AB55" s="105">
        <f t="shared" ca="1" si="5"/>
        <v>-7.7101748499903255E-2</v>
      </c>
      <c r="AD55" s="104" vm="382">
        <f ca="1"/>
        <v>44725</v>
      </c>
      <c r="AE55" s="104" vm="389">
        <f ca="1"/>
        <v>211.1</v>
      </c>
      <c r="AF55" s="105">
        <f t="shared" ca="1" si="6"/>
        <v>-5.8534953729512784E-2</v>
      </c>
    </row>
    <row r="56" spans="2:32" x14ac:dyDescent="0.3">
      <c r="B56" s="104" vm="390">
        <f ca="1"/>
        <v>44732</v>
      </c>
      <c r="C56" s="104" vm="391">
        <f ca="1"/>
        <v>2760.9</v>
      </c>
      <c r="D56" s="105">
        <f t="shared" ca="1" si="0"/>
        <v>7.0033330749554423E-2</v>
      </c>
      <c r="F56" s="104" vm="390">
        <f ca="1"/>
        <v>44732</v>
      </c>
      <c r="G56" s="104" vm="392">
        <f ca="1"/>
        <v>15699.25</v>
      </c>
      <c r="H56" s="105">
        <f t="shared" ca="1" si="1"/>
        <v>2.6530879131657192E-2</v>
      </c>
      <c r="N56" s="104" vm="390">
        <f ca="1"/>
        <v>44732</v>
      </c>
      <c r="O56" s="104" vm="393">
        <f ca="1"/>
        <v>247.505</v>
      </c>
      <c r="P56" s="105">
        <f t="shared" ca="1" si="2"/>
        <v>6.3367439666757175E-3</v>
      </c>
      <c r="R56" s="104" vm="390">
        <f ca="1"/>
        <v>44732</v>
      </c>
      <c r="S56" s="104" vm="394">
        <f ca="1"/>
        <v>495.08139999999997</v>
      </c>
      <c r="T56" s="105">
        <f t="shared" ca="1" si="3"/>
        <v>5.9474013770469458E-2</v>
      </c>
      <c r="V56" s="104" vm="390">
        <f ca="1"/>
        <v>44732</v>
      </c>
      <c r="W56" s="104" vm="395">
        <f ca="1"/>
        <v>1704.6775</v>
      </c>
      <c r="X56" s="105">
        <f t="shared" ca="1" si="4"/>
        <v>4.6603222121703425E-2</v>
      </c>
      <c r="Z56" s="104" vm="390">
        <f ca="1"/>
        <v>44732</v>
      </c>
      <c r="AA56" s="104" vm="396">
        <f ca="1"/>
        <v>1426.35</v>
      </c>
      <c r="AB56" s="105">
        <f t="shared" ca="1" si="5"/>
        <v>-2.8313758389263421E-3</v>
      </c>
      <c r="AD56" s="104" vm="390">
        <f ca="1"/>
        <v>44732</v>
      </c>
      <c r="AE56" s="104" vm="397">
        <f ca="1"/>
        <v>219.57499999999999</v>
      </c>
      <c r="AF56" s="105">
        <f t="shared" ca="1" si="6"/>
        <v>4.0146849834201692E-2</v>
      </c>
    </row>
    <row r="57" spans="2:32" x14ac:dyDescent="0.3">
      <c r="B57" s="104" vm="398">
        <f ca="1"/>
        <v>44739</v>
      </c>
      <c r="C57" s="104" vm="399">
        <f ca="1"/>
        <v>2773.15</v>
      </c>
      <c r="D57" s="105">
        <f t="shared" ca="1" si="0"/>
        <v>4.436958962657167E-3</v>
      </c>
      <c r="F57" s="104" vm="398">
        <f ca="1"/>
        <v>44739</v>
      </c>
      <c r="G57" s="104" vm="400">
        <f ca="1"/>
        <v>15752.05</v>
      </c>
      <c r="H57" s="105">
        <f t="shared" ca="1" si="1"/>
        <v>3.3632179881204483E-3</v>
      </c>
      <c r="J57" t="s">
        <v>187</v>
      </c>
      <c r="L57" s="55">
        <f ca="1">_xlfn.COVARIANCE.S(AF9:AF269,$H$9:$H$269)/_xlfn.VAR.S($H$9:$H$269)</f>
        <v>1.0809727872240473</v>
      </c>
      <c r="N57" s="104" vm="398">
        <f ca="1"/>
        <v>44739</v>
      </c>
      <c r="O57" s="104" vm="401">
        <f ca="1"/>
        <v>247.0076</v>
      </c>
      <c r="P57" s="105">
        <f t="shared" ca="1" si="2"/>
        <v>-2.0096563705783721E-3</v>
      </c>
      <c r="R57" s="104" vm="398">
        <f ca="1"/>
        <v>44739</v>
      </c>
      <c r="S57" s="104" vm="402">
        <f ca="1"/>
        <v>485.20639999999997</v>
      </c>
      <c r="T57" s="105">
        <f t="shared" ca="1" si="3"/>
        <v>-1.9946214905266046E-2</v>
      </c>
      <c r="V57" s="104" vm="398">
        <f ca="1"/>
        <v>44739</v>
      </c>
      <c r="W57" s="104" vm="403">
        <f ca="1"/>
        <v>1796.9516000000001</v>
      </c>
      <c r="X57" s="105">
        <f t="shared" ca="1" si="4"/>
        <v>5.4129945400229751E-2</v>
      </c>
      <c r="Z57" s="104" vm="398">
        <f ca="1"/>
        <v>44739</v>
      </c>
      <c r="AA57" s="104" vm="404">
        <f ca="1"/>
        <v>1384.15</v>
      </c>
      <c r="AB57" s="105">
        <f t="shared" ca="1" si="5"/>
        <v>-2.9586006239702645E-2</v>
      </c>
      <c r="AD57" s="104" vm="398">
        <f ca="1"/>
        <v>44739</v>
      </c>
      <c r="AE57" s="104" vm="405">
        <f ca="1"/>
        <v>213.55</v>
      </c>
      <c r="AF57" s="105">
        <f t="shared" ca="1" si="6"/>
        <v>-2.7439371513150346E-2</v>
      </c>
    </row>
    <row r="58" spans="2:32" x14ac:dyDescent="0.3">
      <c r="B58" s="104" vm="406">
        <f ca="1"/>
        <v>44746</v>
      </c>
      <c r="C58" s="104" vm="407">
        <f ca="1"/>
        <v>2879.8</v>
      </c>
      <c r="D58" s="105">
        <f t="shared" ca="1" si="0"/>
        <v>3.8458071146530104E-2</v>
      </c>
      <c r="F58" s="104" vm="406">
        <f ca="1"/>
        <v>44746</v>
      </c>
      <c r="G58" s="104" vm="408">
        <f ca="1"/>
        <v>16220.6</v>
      </c>
      <c r="H58" s="105">
        <f t="shared" ca="1" si="1"/>
        <v>2.9745334734209372E-2</v>
      </c>
      <c r="J58" t="s">
        <v>182</v>
      </c>
      <c r="L58" s="55">
        <f ca="1">L57</f>
        <v>1.0809727872240473</v>
      </c>
      <c r="N58" s="104" vm="406">
        <f ca="1"/>
        <v>44746</v>
      </c>
      <c r="O58" s="104" vm="409">
        <f ca="1"/>
        <v>259.21039999999999</v>
      </c>
      <c r="P58" s="105">
        <f t="shared" ca="1" si="2"/>
        <v>4.9402528505195775E-2</v>
      </c>
      <c r="R58" s="104" vm="406">
        <f ca="1"/>
        <v>44746</v>
      </c>
      <c r="S58" s="104" vm="410">
        <f ca="1"/>
        <v>487.70639999999997</v>
      </c>
      <c r="T58" s="105">
        <f t="shared" ca="1" si="3"/>
        <v>5.1524464640202439E-3</v>
      </c>
      <c r="V58" s="104" vm="406">
        <f ca="1"/>
        <v>44746</v>
      </c>
      <c r="W58" s="104" vm="411">
        <f ca="1"/>
        <v>1815.1384</v>
      </c>
      <c r="X58" s="105">
        <f t="shared" ca="1" si="4"/>
        <v>1.0120918114878474E-2</v>
      </c>
      <c r="Z58" s="104" vm="406">
        <f ca="1"/>
        <v>44746</v>
      </c>
      <c r="AA58" s="104" vm="412">
        <f ca="1"/>
        <v>1434.6</v>
      </c>
      <c r="AB58" s="105">
        <f t="shared" ca="1" si="5"/>
        <v>3.6448361810497376E-2</v>
      </c>
      <c r="AD58" s="104" vm="406">
        <f ca="1"/>
        <v>44746</v>
      </c>
      <c r="AE58" s="104" vm="413">
        <f ca="1"/>
        <v>240.05</v>
      </c>
      <c r="AF58" s="105">
        <f t="shared" ca="1" si="6"/>
        <v>0.124092718332943</v>
      </c>
    </row>
    <row r="59" spans="2:32" x14ac:dyDescent="0.3">
      <c r="B59" s="104" vm="414">
        <f ca="1"/>
        <v>44753</v>
      </c>
      <c r="C59" s="104" vm="415">
        <f ca="1"/>
        <v>2978.15</v>
      </c>
      <c r="D59" s="105">
        <f t="shared" ca="1" si="0"/>
        <v>3.4151677199805608E-2</v>
      </c>
      <c r="F59" s="104" vm="414">
        <f ca="1"/>
        <v>44753</v>
      </c>
      <c r="G59" s="104" vm="416">
        <f ca="1"/>
        <v>16049.2</v>
      </c>
      <c r="H59" s="105">
        <f t="shared" ca="1" si="1"/>
        <v>-1.0566810105668067E-2</v>
      </c>
      <c r="J59" t="s">
        <v>183</v>
      </c>
      <c r="L59">
        <v>0.75</v>
      </c>
      <c r="N59" s="104" vm="414">
        <f ca="1"/>
        <v>44753</v>
      </c>
      <c r="O59" s="104" vm="417">
        <f ca="1"/>
        <v>259.64150000000001</v>
      </c>
      <c r="P59" s="105">
        <f t="shared" ca="1" si="2"/>
        <v>1.6631277140115586E-3</v>
      </c>
      <c r="R59" s="104" vm="414">
        <f ca="1"/>
        <v>44753</v>
      </c>
      <c r="S59" s="104" vm="418">
        <f ca="1"/>
        <v>478.03980000000001</v>
      </c>
      <c r="T59" s="105">
        <f t="shared" ca="1" si="3"/>
        <v>-1.9820531368872629E-2</v>
      </c>
      <c r="V59" s="104" vm="414">
        <f ca="1"/>
        <v>44753</v>
      </c>
      <c r="W59" s="104" vm="419">
        <f ca="1"/>
        <v>1837.9675999999999</v>
      </c>
      <c r="X59" s="105">
        <f t="shared" ca="1" si="4"/>
        <v>1.2577112577200733E-2</v>
      </c>
      <c r="Z59" s="104" vm="414">
        <f ca="1"/>
        <v>44753</v>
      </c>
      <c r="AA59" s="104" vm="420">
        <f ca="1"/>
        <v>1409.1</v>
      </c>
      <c r="AB59" s="105">
        <f t="shared" ca="1" si="5"/>
        <v>-1.777498954412382E-2</v>
      </c>
      <c r="AD59" s="104" vm="414">
        <f ca="1"/>
        <v>44753</v>
      </c>
      <c r="AE59" s="104" vm="421">
        <f ca="1"/>
        <v>242.7</v>
      </c>
      <c r="AF59" s="105">
        <f t="shared" ca="1" si="6"/>
        <v>1.1039366798583528E-2</v>
      </c>
    </row>
    <row r="60" spans="2:32" x14ac:dyDescent="0.3">
      <c r="B60" s="104" vm="422">
        <f ca="1"/>
        <v>44760</v>
      </c>
      <c r="C60" s="104" vm="423">
        <f ca="1"/>
        <v>3067.4</v>
      </c>
      <c r="D60" s="105">
        <f t="shared" ca="1" si="0"/>
        <v>2.996826889176174E-2</v>
      </c>
      <c r="F60" s="104" vm="422">
        <f ca="1"/>
        <v>44760</v>
      </c>
      <c r="G60" s="104" vm="424">
        <f ca="1"/>
        <v>16719.45</v>
      </c>
      <c r="H60" s="105">
        <f t="shared" ca="1" si="1"/>
        <v>4.1762206215886222E-2</v>
      </c>
      <c r="J60" t="s">
        <v>185</v>
      </c>
      <c r="L60">
        <v>1</v>
      </c>
      <c r="N60" s="104" vm="422">
        <f ca="1"/>
        <v>44760</v>
      </c>
      <c r="O60" s="104" vm="425">
        <f ca="1"/>
        <v>266.7045</v>
      </c>
      <c r="P60" s="105">
        <f t="shared" ca="1" si="2"/>
        <v>2.720289322007452E-2</v>
      </c>
      <c r="R60" s="104" vm="422">
        <f ca="1"/>
        <v>44760</v>
      </c>
      <c r="S60" s="104" vm="426">
        <f ca="1"/>
        <v>491.16469999999998</v>
      </c>
      <c r="T60" s="105">
        <f t="shared" ca="1" si="3"/>
        <v>2.7455663733437996E-2</v>
      </c>
      <c r="V60" s="104" vm="422">
        <f ca="1"/>
        <v>44760</v>
      </c>
      <c r="W60" s="104" vm="427">
        <f ca="1"/>
        <v>1842.3706999999999</v>
      </c>
      <c r="X60" s="105">
        <f t="shared" ca="1" si="4"/>
        <v>2.3956352658229818E-3</v>
      </c>
      <c r="Z60" s="104" vm="422">
        <f ca="1"/>
        <v>44760</v>
      </c>
      <c r="AA60" s="104" vm="428">
        <f ca="1"/>
        <v>1393.3</v>
      </c>
      <c r="AB60" s="105">
        <f t="shared" ca="1" si="5"/>
        <v>-1.1212830884962055E-2</v>
      </c>
      <c r="AD60" s="104" vm="422">
        <f ca="1"/>
        <v>44760</v>
      </c>
      <c r="AE60" s="104" vm="429">
        <f ca="1"/>
        <v>254.5</v>
      </c>
      <c r="AF60" s="105">
        <f t="shared" ca="1" si="6"/>
        <v>4.8619695096827398E-2</v>
      </c>
    </row>
    <row r="61" spans="2:32" x14ac:dyDescent="0.3">
      <c r="B61" s="104" vm="430">
        <f ca="1"/>
        <v>44767</v>
      </c>
      <c r="C61" s="104" vm="431">
        <f ca="1"/>
        <v>3333.75</v>
      </c>
      <c r="D61" s="105">
        <f t="shared" ca="1" si="0"/>
        <v>8.6832496576905394E-2</v>
      </c>
      <c r="F61" s="104" vm="430">
        <f ca="1"/>
        <v>44767</v>
      </c>
      <c r="G61" s="104" vm="432">
        <f ca="1"/>
        <v>17158.25</v>
      </c>
      <c r="H61" s="105">
        <f t="shared" ca="1" si="1"/>
        <v>2.6244882457257868E-2</v>
      </c>
      <c r="J61" t="s">
        <v>184</v>
      </c>
      <c r="L61">
        <v>0.25</v>
      </c>
      <c r="N61" s="104" vm="430">
        <f ca="1"/>
        <v>44767</v>
      </c>
      <c r="O61" s="104" vm="433">
        <f ca="1"/>
        <v>265.27870000000001</v>
      </c>
      <c r="P61" s="105">
        <f t="shared" ca="1" si="2"/>
        <v>-5.3459915374505229E-3</v>
      </c>
      <c r="R61" s="104" vm="430">
        <f ca="1"/>
        <v>44767</v>
      </c>
      <c r="S61" s="104" vm="434">
        <f ca="1"/>
        <v>520.58130000000006</v>
      </c>
      <c r="T61" s="105">
        <f t="shared" ca="1" si="3"/>
        <v>5.9891519077002187E-2</v>
      </c>
      <c r="V61" s="104" vm="430">
        <f ca="1"/>
        <v>44767</v>
      </c>
      <c r="W61" s="104" vm="435">
        <f ca="1"/>
        <v>1861.7539999999999</v>
      </c>
      <c r="X61" s="105">
        <f t="shared" ca="1" si="4"/>
        <v>1.0520846863228961E-2</v>
      </c>
      <c r="Z61" s="104" vm="430">
        <f ca="1"/>
        <v>44767</v>
      </c>
      <c r="AA61" s="104" vm="436">
        <f ca="1"/>
        <v>1391.7</v>
      </c>
      <c r="AB61" s="105">
        <f t="shared" ca="1" si="5"/>
        <v>-1.148352831407351E-3</v>
      </c>
      <c r="AD61" s="104" vm="430">
        <f ca="1"/>
        <v>44767</v>
      </c>
      <c r="AE61" s="104" vm="240">
        <f ca="1"/>
        <v>255.25</v>
      </c>
      <c r="AF61" s="105">
        <f t="shared" ca="1" si="6"/>
        <v>2.9469548133596035E-3</v>
      </c>
    </row>
    <row r="62" spans="2:32" x14ac:dyDescent="0.3">
      <c r="B62" s="104" vm="437">
        <f ca="1"/>
        <v>44774</v>
      </c>
      <c r="C62" s="104" vm="438">
        <f ca="1"/>
        <v>3473.9</v>
      </c>
      <c r="D62" s="105">
        <f t="shared" ca="1" si="0"/>
        <v>4.2039745031871023E-2</v>
      </c>
      <c r="F62" s="104" vm="437">
        <f ca="1"/>
        <v>44774</v>
      </c>
      <c r="G62" s="104" vm="439">
        <f ca="1"/>
        <v>17397.5</v>
      </c>
      <c r="H62" s="105">
        <f t="shared" ca="1" si="1"/>
        <v>1.3943729692713402E-2</v>
      </c>
      <c r="N62" s="104" vm="437">
        <f ca="1"/>
        <v>44774</v>
      </c>
      <c r="O62" s="104" vm="440">
        <f ca="1"/>
        <v>332.56</v>
      </c>
      <c r="P62" s="105">
        <f t="shared" ca="1" si="2"/>
        <v>0.25362496122003009</v>
      </c>
      <c r="R62" s="104" vm="437">
        <f ca="1"/>
        <v>44774</v>
      </c>
      <c r="S62" s="104" vm="441">
        <f ca="1"/>
        <v>561.45609999999999</v>
      </c>
      <c r="T62" s="105">
        <f t="shared" ca="1" si="3"/>
        <v>7.8517610986026387E-2</v>
      </c>
      <c r="V62" s="104" vm="437">
        <f ca="1"/>
        <v>44774</v>
      </c>
      <c r="W62" s="104" vm="442">
        <f ca="1"/>
        <v>1825.1890000000001</v>
      </c>
      <c r="X62" s="105">
        <f t="shared" ca="1" si="4"/>
        <v>-1.9640081342647719E-2</v>
      </c>
      <c r="Z62" s="104" vm="437">
        <f ca="1"/>
        <v>44774</v>
      </c>
      <c r="AA62" s="104" vm="443">
        <f ca="1"/>
        <v>1564.7</v>
      </c>
      <c r="AB62" s="105">
        <f t="shared" ca="1" si="5"/>
        <v>0.12430839979880726</v>
      </c>
      <c r="AD62" s="104" vm="437">
        <f ca="1"/>
        <v>44774</v>
      </c>
      <c r="AE62" s="104" vm="444">
        <f ca="1"/>
        <v>272.02499999999998</v>
      </c>
      <c r="AF62" s="105">
        <f t="shared" ca="1" si="6"/>
        <v>6.57198824681684E-2</v>
      </c>
    </row>
    <row r="63" spans="2:32" x14ac:dyDescent="0.3">
      <c r="B63" s="104" vm="445">
        <f ca="1"/>
        <v>44781</v>
      </c>
      <c r="C63" s="104" vm="446">
        <f ca="1"/>
        <v>3427.85</v>
      </c>
      <c r="D63" s="105">
        <f t="shared" ca="1" si="0"/>
        <v>-1.3255994703359364E-2</v>
      </c>
      <c r="F63" s="104" vm="445">
        <f ca="1"/>
        <v>44781</v>
      </c>
      <c r="G63" s="104" vm="447">
        <f ca="1"/>
        <v>17698.150000000001</v>
      </c>
      <c r="H63" s="105">
        <f t="shared" ca="1" si="1"/>
        <v>1.7281218565885936E-2</v>
      </c>
      <c r="J63" s="70" t="s">
        <v>186</v>
      </c>
      <c r="K63" s="70"/>
      <c r="L63" s="71">
        <f ca="1">(L58*L59)+L60*L61</f>
        <v>1.0607295904180356</v>
      </c>
      <c r="N63" s="104" vm="445">
        <f ca="1"/>
        <v>44781</v>
      </c>
      <c r="O63" s="104" vm="448">
        <f ca="1"/>
        <v>327.78489999999999</v>
      </c>
      <c r="P63" s="105">
        <f t="shared" ca="1" si="2"/>
        <v>-1.4358611979793157E-2</v>
      </c>
      <c r="R63" s="104" vm="445">
        <f ca="1"/>
        <v>44781</v>
      </c>
      <c r="S63" s="104" vm="449">
        <f ca="1"/>
        <v>563.6644</v>
      </c>
      <c r="T63" s="105">
        <f t="shared" ca="1" si="3"/>
        <v>3.933165923390991E-3</v>
      </c>
      <c r="V63" s="104" vm="445">
        <f ca="1"/>
        <v>44781</v>
      </c>
      <c r="W63" s="104" vm="450">
        <f ca="1"/>
        <v>1835.4789000000001</v>
      </c>
      <c r="X63" s="105">
        <f t="shared" ca="1" si="4"/>
        <v>5.6377175185693407E-3</v>
      </c>
      <c r="Z63" s="104" vm="445">
        <f ca="1"/>
        <v>44781</v>
      </c>
      <c r="AA63" s="104" vm="451">
        <f ca="1"/>
        <v>1504.8</v>
      </c>
      <c r="AB63" s="105">
        <f t="shared" ca="1" si="5"/>
        <v>-3.8282098804882758E-2</v>
      </c>
      <c r="AD63" s="104" vm="445">
        <f ca="1"/>
        <v>44781</v>
      </c>
      <c r="AE63" s="104" vm="452">
        <f ca="1"/>
        <v>270.2</v>
      </c>
      <c r="AF63" s="105">
        <f t="shared" ca="1" si="6"/>
        <v>-6.7089421928131499E-3</v>
      </c>
    </row>
    <row r="64" spans="2:32" x14ac:dyDescent="0.3">
      <c r="B64" s="104" vm="453">
        <f ca="1"/>
        <v>44789</v>
      </c>
      <c r="C64" s="104" vm="454">
        <f ca="1"/>
        <v>3482.55</v>
      </c>
      <c r="D64" s="105">
        <f t="shared" ca="1" si="0"/>
        <v>1.5957524395758371E-2</v>
      </c>
      <c r="F64" s="104" vm="453">
        <f ca="1"/>
        <v>44789</v>
      </c>
      <c r="G64" s="104" vm="455">
        <f ca="1"/>
        <v>17758.45</v>
      </c>
      <c r="H64" s="105">
        <f t="shared" ca="1" si="1"/>
        <v>3.4071357740781405E-3</v>
      </c>
      <c r="N64" s="104" vm="453">
        <f ca="1"/>
        <v>44789</v>
      </c>
      <c r="O64" s="104" vm="456">
        <f ca="1"/>
        <v>335.37849999999997</v>
      </c>
      <c r="P64" s="105">
        <f t="shared" ca="1" si="2"/>
        <v>2.3166411875592763E-2</v>
      </c>
      <c r="R64" s="104" vm="453">
        <f ca="1"/>
        <v>44789</v>
      </c>
      <c r="S64" s="104" vm="457">
        <f ca="1"/>
        <v>580.91430000000003</v>
      </c>
      <c r="T64" s="105">
        <f t="shared" ca="1" si="3"/>
        <v>3.0603139030955351E-2</v>
      </c>
      <c r="V64" s="104" vm="453">
        <f ca="1"/>
        <v>44789</v>
      </c>
      <c r="W64" s="104" vm="458">
        <f ca="1"/>
        <v>1816.8613</v>
      </c>
      <c r="X64" s="105">
        <f t="shared" ca="1" si="4"/>
        <v>-1.0143183885143014E-2</v>
      </c>
      <c r="Z64" s="104" vm="453">
        <f ca="1"/>
        <v>44789</v>
      </c>
      <c r="AA64" s="104" vm="459">
        <f ca="1"/>
        <v>1511.25</v>
      </c>
      <c r="AB64" s="105">
        <f t="shared" ca="1" si="5"/>
        <v>4.2862838915471713E-3</v>
      </c>
      <c r="AD64" s="104" vm="453">
        <f ca="1"/>
        <v>44789</v>
      </c>
      <c r="AE64" s="104" vm="460">
        <f ca="1"/>
        <v>267.67500000000001</v>
      </c>
      <c r="AF64" s="105">
        <f t="shared" ca="1" si="6"/>
        <v>-9.3449296817171845E-3</v>
      </c>
    </row>
    <row r="65" spans="2:32" x14ac:dyDescent="0.3">
      <c r="B65" s="104" vm="461">
        <f ca="1"/>
        <v>44795</v>
      </c>
      <c r="C65" s="104" vm="462">
        <f ca="1"/>
        <v>3323.55</v>
      </c>
      <c r="D65" s="105">
        <f t="shared" ca="1" si="0"/>
        <v>-4.5656200198130659E-2</v>
      </c>
      <c r="F65" s="104" vm="461">
        <f ca="1"/>
        <v>44795</v>
      </c>
      <c r="G65" s="104" vm="463">
        <f ca="1"/>
        <v>17558.900000000001</v>
      </c>
      <c r="H65" s="105">
        <f t="shared" ca="1" si="1"/>
        <v>-1.1236904121699753E-2</v>
      </c>
      <c r="N65" s="104" vm="461">
        <f ca="1"/>
        <v>44795</v>
      </c>
      <c r="O65" s="104" vm="464">
        <f ca="1"/>
        <v>326.88959999999997</v>
      </c>
      <c r="P65" s="105">
        <f t="shared" ca="1" si="2"/>
        <v>-2.5311401893681307E-2</v>
      </c>
      <c r="R65" s="104" vm="461">
        <f ca="1"/>
        <v>44795</v>
      </c>
      <c r="S65" s="104" vm="465">
        <f ca="1"/>
        <v>550.12279999999998</v>
      </c>
      <c r="T65" s="105">
        <f t="shared" ca="1" si="3"/>
        <v>-5.3005236744903761E-2</v>
      </c>
      <c r="V65" s="104" vm="461">
        <f ca="1"/>
        <v>44795</v>
      </c>
      <c r="W65" s="104" vm="466">
        <f ca="1"/>
        <v>1856.0108</v>
      </c>
      <c r="X65" s="105">
        <f t="shared" ca="1" si="4"/>
        <v>2.154787489832044E-2</v>
      </c>
      <c r="Z65" s="104" vm="461">
        <f ca="1"/>
        <v>44795</v>
      </c>
      <c r="AA65" s="104" vm="467">
        <f ca="1"/>
        <v>1670.4</v>
      </c>
      <c r="AB65" s="105">
        <f t="shared" ca="1" si="5"/>
        <v>0.10531017369727058</v>
      </c>
      <c r="AD65" s="104" vm="461">
        <f ca="1"/>
        <v>44795</v>
      </c>
      <c r="AE65" s="104" vm="468">
        <f ca="1"/>
        <v>260.64999999999998</v>
      </c>
      <c r="AF65" s="105">
        <f t="shared" ca="1" si="6"/>
        <v>-2.6244512935462927E-2</v>
      </c>
    </row>
    <row r="66" spans="2:32" x14ac:dyDescent="0.3">
      <c r="B66" s="104" vm="469">
        <f ca="1"/>
        <v>44802</v>
      </c>
      <c r="C66" s="104" vm="470">
        <f ca="1"/>
        <v>3431.05</v>
      </c>
      <c r="D66" s="105">
        <f t="shared" ca="1" si="0"/>
        <v>3.2344932376525026E-2</v>
      </c>
      <c r="F66" s="104" vm="469">
        <f ca="1"/>
        <v>44802</v>
      </c>
      <c r="G66" s="104" vm="471">
        <f ca="1"/>
        <v>17539.45</v>
      </c>
      <c r="H66" s="105">
        <f t="shared" ca="1" si="1"/>
        <v>-1.1077003684741848E-3</v>
      </c>
      <c r="N66" s="104" vm="469">
        <f ca="1"/>
        <v>44802</v>
      </c>
      <c r="O66" s="104" vm="472">
        <f ca="1"/>
        <v>331.39940000000001</v>
      </c>
      <c r="P66" s="105">
        <f t="shared" ca="1" si="2"/>
        <v>1.3796095073076886E-2</v>
      </c>
      <c r="R66" s="104" vm="469">
        <f ca="1"/>
        <v>44802</v>
      </c>
      <c r="S66" s="104" vm="473">
        <f ca="1"/>
        <v>556.7894</v>
      </c>
      <c r="T66" s="105">
        <f t="shared" ca="1" si="3"/>
        <v>1.2118385204176185E-2</v>
      </c>
      <c r="V66" s="104" vm="469">
        <f ca="1"/>
        <v>44802</v>
      </c>
      <c r="W66" s="104" vm="474">
        <f ca="1"/>
        <v>1857.3030000000001</v>
      </c>
      <c r="X66" s="105">
        <f t="shared" ca="1" si="4"/>
        <v>6.9622439697014649E-4</v>
      </c>
      <c r="Z66" s="104" vm="469">
        <f ca="1"/>
        <v>44802</v>
      </c>
      <c r="AA66" s="104" vm="475">
        <f ca="1"/>
        <v>1589.6</v>
      </c>
      <c r="AB66" s="105">
        <f t="shared" ca="1" si="5"/>
        <v>-4.8371647509578675E-2</v>
      </c>
      <c r="AD66" s="104" vm="469">
        <f ca="1"/>
        <v>44802</v>
      </c>
      <c r="AE66" s="104" vm="476">
        <f ca="1"/>
        <v>270.52499999999998</v>
      </c>
      <c r="AF66" s="105">
        <f t="shared" ca="1" si="6"/>
        <v>3.7886054095530364E-2</v>
      </c>
    </row>
    <row r="67" spans="2:32" x14ac:dyDescent="0.3">
      <c r="B67" s="104" vm="477">
        <f ca="1"/>
        <v>44809</v>
      </c>
      <c r="C67" s="104" vm="478">
        <f ca="1"/>
        <v>3441.85</v>
      </c>
      <c r="D67" s="105">
        <f t="shared" ca="1" si="0"/>
        <v>3.1477244575275343E-3</v>
      </c>
      <c r="F67" s="104" vm="477">
        <f ca="1"/>
        <v>44809</v>
      </c>
      <c r="G67" s="104" vm="479">
        <f ca="1"/>
        <v>17833.349999999999</v>
      </c>
      <c r="H67" s="105">
        <f t="shared" ca="1" si="1"/>
        <v>1.6756511749228098E-2</v>
      </c>
      <c r="N67" s="104" vm="477">
        <f ca="1"/>
        <v>44809</v>
      </c>
      <c r="O67" s="104" vm="480">
        <f ca="1"/>
        <v>340.48520000000002</v>
      </c>
      <c r="P67" s="105">
        <f t="shared" ca="1" si="2"/>
        <v>2.7416464845742006E-2</v>
      </c>
      <c r="R67" s="104" vm="477">
        <f ca="1"/>
        <v>44809</v>
      </c>
      <c r="S67" s="104" vm="481">
        <f ca="1"/>
        <v>553.33109999999999</v>
      </c>
      <c r="T67" s="105">
        <f t="shared" ca="1" si="3"/>
        <v>-6.2111455426414608E-3</v>
      </c>
      <c r="V67" s="104" vm="477">
        <f ca="1"/>
        <v>44809</v>
      </c>
      <c r="W67" s="104" vm="482">
        <f ca="1"/>
        <v>1932.9218000000001</v>
      </c>
      <c r="X67" s="105">
        <f t="shared" ca="1" si="4"/>
        <v>4.0714304558814529E-2</v>
      </c>
      <c r="Z67" s="104" vm="477">
        <f ca="1"/>
        <v>44809</v>
      </c>
      <c r="AA67" s="104" vm="483">
        <f ca="1"/>
        <v>1554</v>
      </c>
      <c r="AB67" s="105">
        <f t="shared" ca="1" si="5"/>
        <v>-2.2395571212883714E-2</v>
      </c>
      <c r="AD67" s="104" vm="477">
        <f ca="1"/>
        <v>44809</v>
      </c>
      <c r="AE67" s="104" vm="484">
        <f ca="1"/>
        <v>306.85000000000002</v>
      </c>
      <c r="AF67" s="105">
        <f t="shared" ca="1" si="6"/>
        <v>0.13427594492191131</v>
      </c>
    </row>
    <row r="68" spans="2:32" x14ac:dyDescent="0.3">
      <c r="B68" s="104" vm="485">
        <f ca="1"/>
        <v>44816</v>
      </c>
      <c r="C68" s="104" vm="486">
        <f ca="1"/>
        <v>3322.55</v>
      </c>
      <c r="D68" s="105">
        <f t="shared" ca="1" si="0"/>
        <v>-3.4661591876461673E-2</v>
      </c>
      <c r="F68" s="104" vm="485">
        <f ca="1"/>
        <v>44816</v>
      </c>
      <c r="G68" s="104" vm="487">
        <f ca="1"/>
        <v>17530.849999999999</v>
      </c>
      <c r="H68" s="105">
        <f t="shared" ca="1" si="1"/>
        <v>-1.6962600969531838E-2</v>
      </c>
      <c r="N68" s="104" vm="485">
        <f ca="1"/>
        <v>44816</v>
      </c>
      <c r="O68" s="104" vm="488">
        <f ca="1"/>
        <v>318.2681</v>
      </c>
      <c r="P68" s="105">
        <f t="shared" ca="1" si="2"/>
        <v>-6.5251294329386478E-2</v>
      </c>
      <c r="R68" s="104" vm="485">
        <f ca="1"/>
        <v>44816</v>
      </c>
      <c r="S68" s="104" vm="489">
        <f ca="1"/>
        <v>532.49789999999996</v>
      </c>
      <c r="T68" s="105">
        <f t="shared" ca="1" si="3"/>
        <v>-3.7650513408698738E-2</v>
      </c>
      <c r="V68" s="104" vm="485">
        <f ca="1"/>
        <v>44816</v>
      </c>
      <c r="W68" s="104" vm="490">
        <f ca="1"/>
        <v>2041.229</v>
      </c>
      <c r="X68" s="105">
        <f t="shared" ca="1" si="4"/>
        <v>5.6032892794731781E-2</v>
      </c>
      <c r="Z68" s="104" vm="485">
        <f ca="1"/>
        <v>44816</v>
      </c>
      <c r="AA68" s="104" vm="491">
        <f ca="1"/>
        <v>1601.35</v>
      </c>
      <c r="AB68" s="105">
        <f t="shared" ca="1" si="5"/>
        <v>3.04697554697555E-2</v>
      </c>
      <c r="AD68" s="104" vm="485">
        <f ca="1"/>
        <v>44816</v>
      </c>
      <c r="AE68" s="104" vm="492">
        <f ca="1"/>
        <v>299.14999999999998</v>
      </c>
      <c r="AF68" s="105">
        <f t="shared" ca="1" si="6"/>
        <v>-2.5093693987290333E-2</v>
      </c>
    </row>
    <row r="69" spans="2:32" x14ac:dyDescent="0.3">
      <c r="B69" s="104" vm="493">
        <f ca="1"/>
        <v>44823</v>
      </c>
      <c r="C69" s="104" vm="494">
        <f ca="1"/>
        <v>3395.25</v>
      </c>
      <c r="D69" s="105">
        <f t="shared" ca="1" si="0"/>
        <v>2.1880784337331205E-2</v>
      </c>
      <c r="F69" s="104" vm="493">
        <f ca="1"/>
        <v>44823</v>
      </c>
      <c r="G69" s="104" vm="495">
        <f ca="1"/>
        <v>17327.349999999999</v>
      </c>
      <c r="H69" s="105">
        <f t="shared" ca="1" si="1"/>
        <v>-1.1608107992481798E-2</v>
      </c>
      <c r="N69" s="104" vm="493">
        <f ca="1"/>
        <v>44823</v>
      </c>
      <c r="O69" s="104" vm="496">
        <f ca="1"/>
        <v>317.73750000000001</v>
      </c>
      <c r="P69" s="105">
        <f t="shared" ca="1" si="2"/>
        <v>-1.6671479171176395E-3</v>
      </c>
      <c r="R69" s="104" vm="493">
        <f ca="1"/>
        <v>44823</v>
      </c>
      <c r="S69" s="104" vm="497">
        <f ca="1"/>
        <v>528.08119999999997</v>
      </c>
      <c r="T69" s="105">
        <f t="shared" ca="1" si="3"/>
        <v>-8.2943050104047344E-3</v>
      </c>
      <c r="V69" s="104" vm="493">
        <f ca="1"/>
        <v>44823</v>
      </c>
      <c r="W69" s="104" vm="498">
        <f ca="1"/>
        <v>2064.3454000000002</v>
      </c>
      <c r="X69" s="105">
        <f t="shared" ca="1" si="4"/>
        <v>1.1324746023106735E-2</v>
      </c>
      <c r="Z69" s="104" vm="493">
        <f ca="1"/>
        <v>44823</v>
      </c>
      <c r="AA69" s="104" vm="499">
        <f ca="1"/>
        <v>1523.6</v>
      </c>
      <c r="AB69" s="105">
        <f t="shared" ca="1" si="5"/>
        <v>-4.8552783588846959E-2</v>
      </c>
      <c r="AD69" s="104" vm="493">
        <f ca="1"/>
        <v>44823</v>
      </c>
      <c r="AE69" s="104" vm="500">
        <f ca="1"/>
        <v>298.92500000000001</v>
      </c>
      <c r="AF69" s="105">
        <f t="shared" ca="1" si="6"/>
        <v>-7.5213103794069536E-4</v>
      </c>
    </row>
    <row r="70" spans="2:32" x14ac:dyDescent="0.3">
      <c r="B70" s="104" vm="501">
        <f ca="1"/>
        <v>44830</v>
      </c>
      <c r="C70" s="104" vm="502">
        <f ca="1"/>
        <v>3342.45</v>
      </c>
      <c r="D70" s="105">
        <f t="shared" ca="1" si="0"/>
        <v>-1.5551137618732058E-2</v>
      </c>
      <c r="F70" s="104" vm="501">
        <f ca="1"/>
        <v>44830</v>
      </c>
      <c r="G70" s="104" vm="503">
        <f ca="1"/>
        <v>17094.349999999999</v>
      </c>
      <c r="H70" s="105">
        <f t="shared" ca="1" si="1"/>
        <v>-1.3446949475828696E-2</v>
      </c>
      <c r="N70" s="104" vm="501">
        <f ca="1"/>
        <v>44830</v>
      </c>
      <c r="O70" s="104" vm="504">
        <f ca="1"/>
        <v>324.73419999999999</v>
      </c>
      <c r="P70" s="105">
        <f t="shared" ca="1" si="2"/>
        <v>2.2020378457059619E-2</v>
      </c>
      <c r="R70" s="104" vm="501">
        <f ca="1"/>
        <v>44830</v>
      </c>
      <c r="S70" s="104" vm="505">
        <f ca="1"/>
        <v>514.16459999999995</v>
      </c>
      <c r="T70" s="105">
        <f t="shared" ca="1" si="3"/>
        <v>-2.6353144175554899E-2</v>
      </c>
      <c r="V70" s="104" vm="501">
        <f ca="1"/>
        <v>44830</v>
      </c>
      <c r="W70" s="104" vm="506">
        <f ca="1"/>
        <v>2111.2482</v>
      </c>
      <c r="X70" s="105">
        <f t="shared" ca="1" si="4"/>
        <v>2.2720422657952488E-2</v>
      </c>
      <c r="Z70" s="104" vm="501">
        <f ca="1"/>
        <v>44830</v>
      </c>
      <c r="AA70" s="104" vm="507">
        <f ca="1"/>
        <v>1499.4</v>
      </c>
      <c r="AB70" s="105">
        <f t="shared" ca="1" si="5"/>
        <v>-1.5883433972171068E-2</v>
      </c>
      <c r="AD70" s="104" vm="501">
        <f ca="1"/>
        <v>44830</v>
      </c>
      <c r="AE70" s="104" vm="508">
        <f ca="1"/>
        <v>297.7</v>
      </c>
      <c r="AF70" s="105">
        <f t="shared" ca="1" si="6"/>
        <v>-4.0980178974659998E-3</v>
      </c>
    </row>
    <row r="71" spans="2:32" x14ac:dyDescent="0.3">
      <c r="B71" s="104" vm="509">
        <f ca="1"/>
        <v>44837</v>
      </c>
      <c r="C71" s="104" vm="510">
        <f ca="1"/>
        <v>3343.7</v>
      </c>
      <c r="D71" s="105">
        <f t="shared" ca="1" si="0"/>
        <v>3.739771724333707E-4</v>
      </c>
      <c r="F71" s="104" vm="509">
        <f ca="1"/>
        <v>44837</v>
      </c>
      <c r="G71" s="104" vm="511">
        <f ca="1"/>
        <v>17331.8</v>
      </c>
      <c r="H71" s="105">
        <f t="shared" ca="1" si="1"/>
        <v>1.38905544814516E-2</v>
      </c>
      <c r="N71" s="104" vm="509">
        <f ca="1"/>
        <v>44837</v>
      </c>
      <c r="O71" s="104" vm="512">
        <f ca="1"/>
        <v>315.41629999999998</v>
      </c>
      <c r="P71" s="105">
        <f t="shared" ca="1" si="2"/>
        <v>-2.8693928757734799E-2</v>
      </c>
      <c r="R71" s="104" vm="509">
        <f ca="1"/>
        <v>44837</v>
      </c>
      <c r="S71" s="104" vm="513">
        <f ca="1"/>
        <v>521.58119999999997</v>
      </c>
      <c r="T71" s="105">
        <f t="shared" ca="1" si="3"/>
        <v>1.4424563651406652E-2</v>
      </c>
      <c r="V71" s="104" vm="509">
        <f ca="1"/>
        <v>44837</v>
      </c>
      <c r="W71" s="104" vm="514">
        <f ca="1"/>
        <v>2129.1478000000002</v>
      </c>
      <c r="X71" s="105">
        <f t="shared" ca="1" si="4"/>
        <v>8.4782073467251085E-3</v>
      </c>
      <c r="Z71" s="104" vm="509">
        <f ca="1"/>
        <v>44837</v>
      </c>
      <c r="AA71" s="104" vm="515">
        <f ca="1"/>
        <v>1493.55</v>
      </c>
      <c r="AB71" s="105">
        <f t="shared" ca="1" si="5"/>
        <v>-3.9015606242498446E-3</v>
      </c>
      <c r="AD71" s="104" vm="509">
        <f ca="1"/>
        <v>44837</v>
      </c>
      <c r="AE71" s="104" vm="516">
        <f ca="1"/>
        <v>305.57499999999999</v>
      </c>
      <c r="AF71" s="105">
        <f t="shared" ca="1" si="6"/>
        <v>2.6452804837084232E-2</v>
      </c>
    </row>
    <row r="72" spans="2:32" x14ac:dyDescent="0.3">
      <c r="B72" s="104" vm="517">
        <f ca="1"/>
        <v>44844</v>
      </c>
      <c r="C72" s="104" vm="518">
        <f ca="1"/>
        <v>3185.5</v>
      </c>
      <c r="D72" s="105">
        <f t="shared" ca="1" si="0"/>
        <v>-4.731285701468424E-2</v>
      </c>
      <c r="F72" s="104" vm="517">
        <f ca="1"/>
        <v>44844</v>
      </c>
      <c r="G72" s="104" vm="519">
        <f ca="1"/>
        <v>17185.7</v>
      </c>
      <c r="H72" s="105">
        <f t="shared" ca="1" si="1"/>
        <v>-8.4295918485095545E-3</v>
      </c>
      <c r="N72" s="104" vm="517">
        <f ca="1"/>
        <v>44844</v>
      </c>
      <c r="O72" s="104" vm="520">
        <f ca="1"/>
        <v>319.22969999999998</v>
      </c>
      <c r="P72" s="105">
        <f t="shared" ca="1" si="2"/>
        <v>1.2090053684606694E-2</v>
      </c>
      <c r="R72" s="104" vm="517">
        <f ca="1"/>
        <v>44844</v>
      </c>
      <c r="S72" s="104" vm="521">
        <f ca="1"/>
        <v>510.3313</v>
      </c>
      <c r="T72" s="105">
        <f t="shared" ca="1" si="3"/>
        <v>-2.1568837220359849E-2</v>
      </c>
      <c r="V72" s="104" vm="517">
        <f ca="1"/>
        <v>44844</v>
      </c>
      <c r="W72" s="104" vm="522">
        <f ca="1"/>
        <v>1958.5269000000001</v>
      </c>
      <c r="X72" s="105">
        <f t="shared" ca="1" si="4"/>
        <v>-8.0135770752974511E-2</v>
      </c>
      <c r="Z72" s="104" vm="517">
        <f ca="1"/>
        <v>44844</v>
      </c>
      <c r="AA72" s="104" vm="523">
        <f ca="1"/>
        <v>1482.65</v>
      </c>
      <c r="AB72" s="105">
        <f t="shared" ca="1" si="5"/>
        <v>-7.2980482742458497E-3</v>
      </c>
      <c r="AD72" s="104" vm="517">
        <f ca="1"/>
        <v>44844</v>
      </c>
      <c r="AE72" s="104" vm="524">
        <f ca="1"/>
        <v>299.05</v>
      </c>
      <c r="AF72" s="105">
        <f t="shared" ca="1" si="6"/>
        <v>-2.1353186615397091E-2</v>
      </c>
    </row>
    <row r="73" spans="2:32" x14ac:dyDescent="0.3">
      <c r="B73" s="104" vm="525">
        <f ca="1"/>
        <v>44851</v>
      </c>
      <c r="C73" s="104" vm="526">
        <f ca="1"/>
        <v>3092.4</v>
      </c>
      <c r="D73" s="105">
        <f t="shared" ca="1" si="0"/>
        <v>-2.9226181133260032E-2</v>
      </c>
      <c r="F73" s="104" vm="525">
        <f ca="1"/>
        <v>44851</v>
      </c>
      <c r="G73" s="104" vm="527">
        <f ca="1"/>
        <v>17576.3</v>
      </c>
      <c r="H73" s="105">
        <f t="shared" ca="1" si="1"/>
        <v>2.2728198444055048E-2</v>
      </c>
      <c r="N73" s="104" vm="525">
        <f ca="1"/>
        <v>44851</v>
      </c>
      <c r="O73" s="104" vm="528">
        <f ca="1"/>
        <v>317.80380000000002</v>
      </c>
      <c r="P73" s="105">
        <f t="shared" ca="1" si="2"/>
        <v>-4.4666896595145777E-3</v>
      </c>
      <c r="R73" s="104" vm="525">
        <f ca="1"/>
        <v>44851</v>
      </c>
      <c r="S73" s="104" vm="529">
        <f ca="1"/>
        <v>487.78969999999998</v>
      </c>
      <c r="T73" s="105">
        <f t="shared" ca="1" si="3"/>
        <v>-4.4170522168638371E-2</v>
      </c>
      <c r="V73" s="104" vm="525">
        <f ca="1"/>
        <v>44851</v>
      </c>
      <c r="W73" s="104" vm="530">
        <f ca="1"/>
        <v>2046.9242999999999</v>
      </c>
      <c r="X73" s="105">
        <f t="shared" ca="1" si="4"/>
        <v>4.5134636649616588E-2</v>
      </c>
      <c r="Z73" s="104" vm="525">
        <f ca="1"/>
        <v>44851</v>
      </c>
      <c r="AA73" s="104" vm="531">
        <f ca="1"/>
        <v>1418.85</v>
      </c>
      <c r="AB73" s="105">
        <f t="shared" ca="1" si="5"/>
        <v>-4.3031059252015114E-2</v>
      </c>
      <c r="AD73" s="104" vm="525">
        <f ca="1"/>
        <v>44851</v>
      </c>
      <c r="AE73" s="104" vm="532">
        <f ca="1"/>
        <v>306.60000000000002</v>
      </c>
      <c r="AF73" s="105">
        <f t="shared" ca="1" si="6"/>
        <v>2.5246614278548796E-2</v>
      </c>
    </row>
    <row r="74" spans="2:32" x14ac:dyDescent="0.3">
      <c r="B74" s="104" vm="533">
        <f ca="1"/>
        <v>44858</v>
      </c>
      <c r="C74" s="104" vm="534">
        <f ca="1"/>
        <v>3053.4</v>
      </c>
      <c r="D74" s="105">
        <f t="shared" ref="D74:D137" ca="1" si="7">C74/C73-1</f>
        <v>-1.2611563833915374E-2</v>
      </c>
      <c r="F74" s="104" vm="533">
        <f ca="1"/>
        <v>44858</v>
      </c>
      <c r="G74" s="104" vm="535">
        <f ca="1"/>
        <v>17786.8</v>
      </c>
      <c r="H74" s="105">
        <f t="shared" ref="H74:H137" ca="1" si="8">G74/G73-1</f>
        <v>1.1976354522851729E-2</v>
      </c>
      <c r="N74" s="104" vm="533">
        <f ca="1"/>
        <v>44858</v>
      </c>
      <c r="O74" s="104" vm="536">
        <f ca="1"/>
        <v>315.81420000000003</v>
      </c>
      <c r="P74" s="105">
        <f t="shared" ref="P74:P137" ca="1" si="9">O74/O73-1</f>
        <v>-6.260466363208983E-3</v>
      </c>
      <c r="R74" s="104" vm="533">
        <f ca="1"/>
        <v>44858</v>
      </c>
      <c r="S74" s="104" vm="537">
        <f ca="1"/>
        <v>479.03980000000001</v>
      </c>
      <c r="T74" s="105">
        <f t="shared" ref="T74:T137" ca="1" si="10">S74/S73-1</f>
        <v>-1.7937853136300252E-2</v>
      </c>
      <c r="V74" s="104" vm="533">
        <f ca="1"/>
        <v>44858</v>
      </c>
      <c r="W74" s="104" vm="538">
        <f ca="1"/>
        <v>2039.6017999999999</v>
      </c>
      <c r="X74" s="105">
        <f t="shared" ref="X74:X137" ca="1" si="11">W74/W73-1</f>
        <v>-3.5773184186635998E-3</v>
      </c>
      <c r="Z74" s="104" vm="533">
        <f ca="1"/>
        <v>44858</v>
      </c>
      <c r="AA74" s="104" vm="539">
        <f ca="1"/>
        <v>1430.05</v>
      </c>
      <c r="AB74" s="105">
        <f t="shared" ref="AB74:AB137" ca="1" si="12">AA74/AA73-1</f>
        <v>7.8937167424322219E-3</v>
      </c>
      <c r="AD74" s="104" vm="533">
        <f ca="1"/>
        <v>44858</v>
      </c>
      <c r="AE74" s="104" vm="540">
        <f ca="1"/>
        <v>292.75</v>
      </c>
      <c r="AF74" s="105">
        <f t="shared" ref="AF74:AF137" ca="1" si="13">AE74/AE73-1</f>
        <v>-4.5172863666014473E-2</v>
      </c>
    </row>
    <row r="75" spans="2:32" x14ac:dyDescent="0.3">
      <c r="B75" s="104" vm="541">
        <f ca="1"/>
        <v>44865</v>
      </c>
      <c r="C75" s="104" vm="542">
        <f ca="1"/>
        <v>3181.35</v>
      </c>
      <c r="D75" s="105">
        <f t="shared" ca="1" si="7"/>
        <v>4.1904106897229232E-2</v>
      </c>
      <c r="F75" s="104" vm="541">
        <f ca="1"/>
        <v>44865</v>
      </c>
      <c r="G75" s="104" vm="543">
        <f ca="1"/>
        <v>18117.150000000001</v>
      </c>
      <c r="H75" s="105">
        <f t="shared" ca="1" si="8"/>
        <v>1.8572761823374861E-2</v>
      </c>
      <c r="N75" s="104" vm="541">
        <f ca="1"/>
        <v>44865</v>
      </c>
      <c r="O75" s="104" vm="544">
        <f ca="1"/>
        <v>297.1121</v>
      </c>
      <c r="P75" s="105">
        <f t="shared" ca="1" si="9"/>
        <v>-5.9218679844034949E-2</v>
      </c>
      <c r="R75" s="104" vm="541">
        <f ca="1"/>
        <v>44865</v>
      </c>
      <c r="S75" s="104" vm="545">
        <f ca="1"/>
        <v>503.53969999999998</v>
      </c>
      <c r="T75" s="105">
        <f t="shared" ca="1" si="10"/>
        <v>5.1143767177591393E-2</v>
      </c>
      <c r="V75" s="104" vm="541">
        <f ca="1"/>
        <v>44865</v>
      </c>
      <c r="W75" s="104" vm="546">
        <f ca="1"/>
        <v>2015.0974000000001</v>
      </c>
      <c r="X75" s="105">
        <f t="shared" ca="1" si="11"/>
        <v>-1.2014305929716196E-2</v>
      </c>
      <c r="Z75" s="104" vm="541">
        <f ca="1"/>
        <v>44865</v>
      </c>
      <c r="AA75" s="104" vm="547">
        <f ca="1"/>
        <v>1542.65</v>
      </c>
      <c r="AB75" s="105">
        <f t="shared" ca="1" si="12"/>
        <v>7.8738505646655854E-2</v>
      </c>
      <c r="AD75" s="104" vm="541">
        <f ca="1"/>
        <v>44865</v>
      </c>
      <c r="AE75" s="104" vm="548">
        <f ca="1"/>
        <v>325.22500000000002</v>
      </c>
      <c r="AF75" s="105">
        <f t="shared" ca="1" si="13"/>
        <v>0.11093082835183621</v>
      </c>
    </row>
    <row r="76" spans="2:32" x14ac:dyDescent="0.3">
      <c r="B76" s="104" vm="549">
        <f ca="1"/>
        <v>44872</v>
      </c>
      <c r="C76" s="104" vm="550">
        <f ca="1"/>
        <v>3055.4</v>
      </c>
      <c r="D76" s="105">
        <f t="shared" ca="1" si="7"/>
        <v>-3.9590111116349913E-2</v>
      </c>
      <c r="F76" s="104" vm="549">
        <f ca="1"/>
        <v>44872</v>
      </c>
      <c r="G76" s="104" vm="551">
        <f ca="1"/>
        <v>18349.7</v>
      </c>
      <c r="H76" s="105">
        <f t="shared" ca="1" si="8"/>
        <v>1.2835904101914375E-2</v>
      </c>
      <c r="N76" s="104" vm="549">
        <f ca="1"/>
        <v>44872</v>
      </c>
      <c r="O76" s="104" vm="552">
        <f ca="1"/>
        <v>296.78050000000002</v>
      </c>
      <c r="P76" s="105">
        <f t="shared" ca="1" si="9"/>
        <v>-1.1160770631690742E-3</v>
      </c>
      <c r="R76" s="104" vm="549">
        <f ca="1"/>
        <v>44872</v>
      </c>
      <c r="S76" s="104" vm="553">
        <f ca="1"/>
        <v>498.41469999999998</v>
      </c>
      <c r="T76" s="105">
        <f t="shared" ca="1" si="10"/>
        <v>-1.0177946247336589E-2</v>
      </c>
      <c r="V76" s="104" vm="549">
        <f ca="1"/>
        <v>44872</v>
      </c>
      <c r="W76" s="104" vm="554">
        <f ca="1"/>
        <v>2174.0405000000001</v>
      </c>
      <c r="X76" s="105">
        <f t="shared" ca="1" si="11"/>
        <v>7.887613769934898E-2</v>
      </c>
      <c r="Z76" s="104" vm="549">
        <f ca="1"/>
        <v>44872</v>
      </c>
      <c r="AA76" s="104" vm="555">
        <f ca="1"/>
        <v>1439.3</v>
      </c>
      <c r="AB76" s="105">
        <f t="shared" ca="1" si="12"/>
        <v>-6.6995105824393164E-2</v>
      </c>
      <c r="AD76" s="104" vm="549">
        <f ca="1"/>
        <v>44872</v>
      </c>
      <c r="AE76" s="104" vm="556">
        <f ca="1"/>
        <v>325.85000000000002</v>
      </c>
      <c r="AF76" s="105">
        <f t="shared" ca="1" si="13"/>
        <v>1.9217464832039788E-3</v>
      </c>
    </row>
    <row r="77" spans="2:32" x14ac:dyDescent="0.3">
      <c r="B77" s="104" vm="557">
        <f ca="1"/>
        <v>44879</v>
      </c>
      <c r="C77" s="104" vm="558">
        <f ca="1"/>
        <v>3095.5</v>
      </c>
      <c r="D77" s="105">
        <f t="shared" ca="1" si="7"/>
        <v>1.3124304510047757E-2</v>
      </c>
      <c r="F77" s="104" vm="557">
        <f ca="1"/>
        <v>44879</v>
      </c>
      <c r="G77" s="104" vm="559">
        <f ca="1"/>
        <v>18307.650000000001</v>
      </c>
      <c r="H77" s="105">
        <f t="shared" ca="1" si="8"/>
        <v>-2.2915905982113793E-3</v>
      </c>
      <c r="N77" s="104" vm="557">
        <f ca="1"/>
        <v>44879</v>
      </c>
      <c r="O77" s="104" vm="560">
        <f ca="1"/>
        <v>287.89370000000002</v>
      </c>
      <c r="P77" s="105">
        <f t="shared" ca="1" si="9"/>
        <v>-2.9944015863575868E-2</v>
      </c>
      <c r="R77" s="104" vm="557">
        <f ca="1"/>
        <v>44879</v>
      </c>
      <c r="S77" s="104" vm="561">
        <f ca="1"/>
        <v>502.9563</v>
      </c>
      <c r="T77" s="105">
        <f t="shared" ca="1" si="10"/>
        <v>9.1120907950748009E-3</v>
      </c>
      <c r="V77" s="104" vm="557">
        <f ca="1"/>
        <v>44879</v>
      </c>
      <c r="W77" s="104" vm="562">
        <f ca="1"/>
        <v>2239.8000999999999</v>
      </c>
      <c r="X77" s="105">
        <f t="shared" ca="1" si="11"/>
        <v>3.0247642580715439E-2</v>
      </c>
      <c r="Z77" s="104" vm="557">
        <f ca="1"/>
        <v>44879</v>
      </c>
      <c r="AA77" s="104" vm="563">
        <f ca="1"/>
        <v>1336.4</v>
      </c>
      <c r="AB77" s="105">
        <f t="shared" ca="1" si="12"/>
        <v>-7.1493086917251314E-2</v>
      </c>
      <c r="AD77" s="104" vm="557">
        <f ca="1"/>
        <v>44879</v>
      </c>
      <c r="AE77" s="104" vm="564">
        <f ca="1"/>
        <v>342.2</v>
      </c>
      <c r="AF77" s="105">
        <f t="shared" ca="1" si="13"/>
        <v>5.0176461562068342E-2</v>
      </c>
    </row>
    <row r="78" spans="2:32" x14ac:dyDescent="0.3">
      <c r="B78" s="104" vm="565">
        <f ca="1"/>
        <v>44886</v>
      </c>
      <c r="C78" s="104" vm="566">
        <f ca="1"/>
        <v>3108.15</v>
      </c>
      <c r="D78" s="105">
        <f t="shared" ca="1" si="7"/>
        <v>4.0865772896139241E-3</v>
      </c>
      <c r="F78" s="104" vm="565">
        <f ca="1"/>
        <v>44886</v>
      </c>
      <c r="G78" s="104" vm="567">
        <f ca="1"/>
        <v>18512.75</v>
      </c>
      <c r="H78" s="105">
        <f t="shared" ca="1" si="8"/>
        <v>1.1202967065680136E-2</v>
      </c>
      <c r="N78" s="104" vm="565">
        <f ca="1"/>
        <v>44886</v>
      </c>
      <c r="O78" s="104" vm="568">
        <f ca="1"/>
        <v>288.68950000000001</v>
      </c>
      <c r="P78" s="105">
        <f t="shared" ca="1" si="9"/>
        <v>2.7642147084148139E-3</v>
      </c>
      <c r="R78" s="104" vm="565">
        <f ca="1"/>
        <v>44886</v>
      </c>
      <c r="S78" s="104" vm="569">
        <f ca="1"/>
        <v>513.91459999999995</v>
      </c>
      <c r="T78" s="105">
        <f t="shared" ca="1" si="10"/>
        <v>2.1787777586243395E-2</v>
      </c>
      <c r="V78" s="104" vm="565">
        <f ca="1"/>
        <v>44886</v>
      </c>
      <c r="W78" s="104" vm="570">
        <f ca="1"/>
        <v>2211.1320000000001</v>
      </c>
      <c r="X78" s="105">
        <f t="shared" ca="1" si="11"/>
        <v>-1.2799401160844659E-2</v>
      </c>
      <c r="Z78" s="104" vm="565">
        <f ca="1"/>
        <v>44886</v>
      </c>
      <c r="AA78" s="104" vm="571">
        <f ca="1"/>
        <v>1318.85</v>
      </c>
      <c r="AB78" s="105">
        <f t="shared" ca="1" si="12"/>
        <v>-1.3132295719844533E-2</v>
      </c>
      <c r="AD78" s="104" vm="565">
        <f ca="1"/>
        <v>44886</v>
      </c>
      <c r="AE78" s="104" vm="572">
        <f ca="1"/>
        <v>343.65</v>
      </c>
      <c r="AF78" s="105">
        <f t="shared" ca="1" si="13"/>
        <v>4.237288135593209E-3</v>
      </c>
    </row>
    <row r="79" spans="2:32" x14ac:dyDescent="0.3">
      <c r="B79" s="104" vm="573">
        <f ca="1"/>
        <v>44893</v>
      </c>
      <c r="C79" s="104" vm="574">
        <f ca="1"/>
        <v>3143.45</v>
      </c>
      <c r="D79" s="105">
        <f t="shared" ca="1" si="7"/>
        <v>1.1357238228528077E-2</v>
      </c>
      <c r="F79" s="104" vm="573">
        <f ca="1"/>
        <v>44893</v>
      </c>
      <c r="G79" s="104" vm="575">
        <f ca="1"/>
        <v>18696.099999999999</v>
      </c>
      <c r="H79" s="105">
        <f t="shared" ca="1" si="8"/>
        <v>9.9039850913558158E-3</v>
      </c>
      <c r="N79" s="104" vm="573">
        <f ca="1"/>
        <v>44893</v>
      </c>
      <c r="O79" s="104" vm="576">
        <f ca="1"/>
        <v>292.27080000000001</v>
      </c>
      <c r="P79" s="105">
        <f t="shared" ca="1" si="9"/>
        <v>1.2405369783106135E-2</v>
      </c>
      <c r="R79" s="104" vm="573">
        <f ca="1"/>
        <v>44893</v>
      </c>
      <c r="S79" s="104" vm="577">
        <f ca="1"/>
        <v>513.66459999999995</v>
      </c>
      <c r="T79" s="105">
        <f t="shared" ca="1" si="10"/>
        <v>-4.864621476019515E-4</v>
      </c>
      <c r="V79" s="104" vm="573">
        <f ca="1"/>
        <v>44893</v>
      </c>
      <c r="W79" s="104" vm="578">
        <f ca="1"/>
        <v>2198.3054999999999</v>
      </c>
      <c r="X79" s="105">
        <f t="shared" ca="1" si="11"/>
        <v>-5.800874846006554E-3</v>
      </c>
      <c r="Z79" s="104" vm="573">
        <f ca="1"/>
        <v>44893</v>
      </c>
      <c r="AA79" s="104" vm="579">
        <f ca="1"/>
        <v>1340.55</v>
      </c>
      <c r="AB79" s="105">
        <f t="shared" ca="1" si="12"/>
        <v>1.645372862721306E-2</v>
      </c>
      <c r="AD79" s="104" vm="573">
        <f ca="1"/>
        <v>44893</v>
      </c>
      <c r="AE79" s="104" vm="580">
        <f ca="1"/>
        <v>347.67500000000001</v>
      </c>
      <c r="AF79" s="105">
        <f t="shared" ca="1" si="13"/>
        <v>1.1712498181289277E-2</v>
      </c>
    </row>
    <row r="80" spans="2:32" x14ac:dyDescent="0.3">
      <c r="B80" s="104" vm="581">
        <f ca="1"/>
        <v>44900</v>
      </c>
      <c r="C80" s="104" vm="582">
        <f ca="1"/>
        <v>3226.95</v>
      </c>
      <c r="D80" s="105">
        <f t="shared" ca="1" si="7"/>
        <v>2.6563171038190614E-2</v>
      </c>
      <c r="F80" s="104" vm="581">
        <f ca="1"/>
        <v>44900</v>
      </c>
      <c r="G80" s="104" vm="583">
        <f ca="1"/>
        <v>18496.599999999999</v>
      </c>
      <c r="H80" s="105">
        <f t="shared" ca="1" si="8"/>
        <v>-1.0670674632677457E-2</v>
      </c>
      <c r="N80" s="104" vm="581">
        <f ca="1"/>
        <v>44900</v>
      </c>
      <c r="O80" s="104" vm="584">
        <f ca="1"/>
        <v>296.21679999999998</v>
      </c>
      <c r="P80" s="105">
        <f t="shared" ca="1" si="9"/>
        <v>1.3501177674950737E-2</v>
      </c>
      <c r="R80" s="104" vm="581">
        <f ca="1"/>
        <v>44900</v>
      </c>
      <c r="S80" s="104" vm="585">
        <f ca="1"/>
        <v>512.62289999999996</v>
      </c>
      <c r="T80" s="105">
        <f t="shared" ca="1" si="10"/>
        <v>-2.0279770106796935E-3</v>
      </c>
      <c r="V80" s="104" vm="581">
        <f ca="1"/>
        <v>44900</v>
      </c>
      <c r="W80" s="104" vm="586">
        <f ca="1"/>
        <v>2154.8008</v>
      </c>
      <c r="X80" s="105">
        <f t="shared" ca="1" si="11"/>
        <v>-1.9790106516132555E-2</v>
      </c>
      <c r="Z80" s="104" vm="581">
        <f ca="1"/>
        <v>44900</v>
      </c>
      <c r="AA80" s="104" vm="587">
        <f ca="1"/>
        <v>1331.7</v>
      </c>
      <c r="AB80" s="105">
        <f t="shared" ca="1" si="12"/>
        <v>-6.6017679310730326E-3</v>
      </c>
      <c r="AD80" s="104" vm="581">
        <f ca="1"/>
        <v>44900</v>
      </c>
      <c r="AE80" s="104" vm="588">
        <f ca="1"/>
        <v>344.77499999999998</v>
      </c>
      <c r="AF80" s="105">
        <f t="shared" ca="1" si="13"/>
        <v>-8.3411231753793835E-3</v>
      </c>
    </row>
    <row r="81" spans="2:32" x14ac:dyDescent="0.3">
      <c r="B81" s="104" vm="589">
        <f ca="1"/>
        <v>44907</v>
      </c>
      <c r="C81" s="104" vm="590">
        <f ca="1"/>
        <v>3055.9</v>
      </c>
      <c r="D81" s="105">
        <f t="shared" ca="1" si="7"/>
        <v>-5.3006709121616313E-2</v>
      </c>
      <c r="F81" s="104" vm="589">
        <f ca="1"/>
        <v>44907</v>
      </c>
      <c r="G81" s="104" vm="591">
        <f ca="1"/>
        <v>18269</v>
      </c>
      <c r="H81" s="105">
        <f t="shared" ca="1" si="8"/>
        <v>-1.2304964155574472E-2</v>
      </c>
      <c r="N81" s="104" vm="589">
        <f ca="1"/>
        <v>44907</v>
      </c>
      <c r="O81" s="104" vm="592">
        <f ca="1"/>
        <v>284.97559999999999</v>
      </c>
      <c r="P81" s="105">
        <f t="shared" ca="1" si="9"/>
        <v>-3.7949231778886205E-2</v>
      </c>
      <c r="R81" s="104" vm="589">
        <f ca="1"/>
        <v>44907</v>
      </c>
      <c r="S81" s="104" vm="593">
        <f ca="1"/>
        <v>495.70639999999997</v>
      </c>
      <c r="T81" s="105">
        <f t="shared" ca="1" si="10"/>
        <v>-3.2999891343129639E-2</v>
      </c>
      <c r="V81" s="104" vm="589">
        <f ca="1"/>
        <v>44907</v>
      </c>
      <c r="W81" s="104" vm="594">
        <f ca="1"/>
        <v>2179.2094000000002</v>
      </c>
      <c r="X81" s="105">
        <f t="shared" ca="1" si="11"/>
        <v>1.1327543594749079E-2</v>
      </c>
      <c r="Z81" s="104" vm="589">
        <f ca="1"/>
        <v>44907</v>
      </c>
      <c r="AA81" s="104" vm="595">
        <f ca="1"/>
        <v>1319.1</v>
      </c>
      <c r="AB81" s="105">
        <f t="shared" ca="1" si="12"/>
        <v>-9.4615904482993063E-3</v>
      </c>
      <c r="AD81" s="104" vm="589">
        <f ca="1"/>
        <v>44907</v>
      </c>
      <c r="AE81" s="104" vm="596">
        <f ca="1"/>
        <v>370.1</v>
      </c>
      <c r="AF81" s="105">
        <f t="shared" ca="1" si="13"/>
        <v>7.3453701689507822E-2</v>
      </c>
    </row>
    <row r="82" spans="2:32" x14ac:dyDescent="0.3">
      <c r="B82" s="104" vm="597">
        <f ca="1"/>
        <v>44914</v>
      </c>
      <c r="C82" s="104" vm="598">
        <f ca="1"/>
        <v>3057.9</v>
      </c>
      <c r="D82" s="105">
        <f t="shared" ca="1" si="7"/>
        <v>6.544716777381332E-4</v>
      </c>
      <c r="F82" s="104" vm="597">
        <f ca="1"/>
        <v>44914</v>
      </c>
      <c r="G82" s="104" vm="599">
        <f ca="1"/>
        <v>17806.8</v>
      </c>
      <c r="H82" s="105">
        <f t="shared" ca="1" si="8"/>
        <v>-2.5299687996058973E-2</v>
      </c>
      <c r="N82" s="104" vm="597">
        <f ca="1"/>
        <v>44914</v>
      </c>
      <c r="O82" s="104" vm="600">
        <f ca="1"/>
        <v>280.49900000000002</v>
      </c>
      <c r="P82" s="105">
        <f t="shared" ca="1" si="9"/>
        <v>-1.570871330738477E-2</v>
      </c>
      <c r="R82" s="104" vm="597">
        <f ca="1"/>
        <v>44914</v>
      </c>
      <c r="S82" s="104" vm="601">
        <f ca="1"/>
        <v>479.62310000000002</v>
      </c>
      <c r="T82" s="105">
        <f t="shared" ca="1" si="10"/>
        <v>-3.2445213537690809E-2</v>
      </c>
      <c r="V82" s="104" vm="597">
        <f ca="1"/>
        <v>44914</v>
      </c>
      <c r="W82" s="104" vm="602">
        <f ca="1"/>
        <v>2096.7945</v>
      </c>
      <c r="X82" s="105">
        <f t="shared" ca="1" si="11"/>
        <v>-3.7818715356128796E-2</v>
      </c>
      <c r="Z82" s="104" vm="597">
        <f ca="1"/>
        <v>44914</v>
      </c>
      <c r="AA82" s="104" vm="603">
        <f ca="1"/>
        <v>1252.5</v>
      </c>
      <c r="AB82" s="105">
        <f t="shared" ca="1" si="12"/>
        <v>-5.0488969752103596E-2</v>
      </c>
      <c r="AD82" s="104" vm="597">
        <f ca="1"/>
        <v>44914</v>
      </c>
      <c r="AE82" s="104" vm="604">
        <f ca="1"/>
        <v>315.07499999999999</v>
      </c>
      <c r="AF82" s="105">
        <f t="shared" ca="1" si="13"/>
        <v>-0.14867603350445835</v>
      </c>
    </row>
    <row r="83" spans="2:32" x14ac:dyDescent="0.3">
      <c r="B83" s="104" vm="605">
        <f ca="1"/>
        <v>44921</v>
      </c>
      <c r="C83" s="104" vm="606">
        <f ca="1"/>
        <v>3087.9</v>
      </c>
      <c r="D83" s="105">
        <f t="shared" ca="1" si="7"/>
        <v>9.8106543706464322E-3</v>
      </c>
      <c r="F83" s="104" vm="605">
        <f ca="1"/>
        <v>44921</v>
      </c>
      <c r="G83" s="104" vm="607">
        <f ca="1"/>
        <v>18105.3</v>
      </c>
      <c r="H83" s="105">
        <f t="shared" ca="1" si="8"/>
        <v>1.6763258979715534E-2</v>
      </c>
      <c r="N83" s="104" vm="605">
        <f ca="1"/>
        <v>44921</v>
      </c>
      <c r="O83" s="104" vm="608">
        <f ca="1"/>
        <v>291.3091</v>
      </c>
      <c r="P83" s="105">
        <f t="shared" ca="1" si="9"/>
        <v>3.8538818320207779E-2</v>
      </c>
      <c r="R83" s="104" vm="605">
        <f ca="1"/>
        <v>44921</v>
      </c>
      <c r="S83" s="104" vm="609">
        <f ca="1"/>
        <v>484.45639999999997</v>
      </c>
      <c r="T83" s="105">
        <f t="shared" ca="1" si="10"/>
        <v>1.0077287770334564E-2</v>
      </c>
      <c r="V83" s="104" vm="605">
        <f ca="1"/>
        <v>44921</v>
      </c>
      <c r="W83" s="104" vm="610">
        <f ca="1"/>
        <v>2124.5533</v>
      </c>
      <c r="X83" s="105">
        <f t="shared" ca="1" si="11"/>
        <v>1.3238684096128717E-2</v>
      </c>
      <c r="Z83" s="104" vm="605">
        <f ca="1"/>
        <v>44921</v>
      </c>
      <c r="AA83" s="104" vm="611">
        <f ca="1"/>
        <v>1302.5999999999999</v>
      </c>
      <c r="AB83" s="105">
        <f t="shared" ca="1" si="12"/>
        <v>4.0000000000000036E-2</v>
      </c>
      <c r="AD83" s="104" vm="605">
        <f ca="1"/>
        <v>44921</v>
      </c>
      <c r="AE83" s="104" vm="612">
        <f ca="1"/>
        <v>336</v>
      </c>
      <c r="AF83" s="105">
        <f t="shared" ca="1" si="13"/>
        <v>6.6412758866936539E-2</v>
      </c>
    </row>
    <row r="84" spans="2:32" x14ac:dyDescent="0.3">
      <c r="B84" s="104" vm="613">
        <f ca="1"/>
        <v>44928</v>
      </c>
      <c r="C84" s="104" vm="614">
        <f ca="1"/>
        <v>2978.4</v>
      </c>
      <c r="D84" s="105">
        <f t="shared" ca="1" si="7"/>
        <v>-3.546099290780147E-2</v>
      </c>
      <c r="F84" s="104" vm="613">
        <f ca="1"/>
        <v>44928</v>
      </c>
      <c r="G84" s="104" vm="615">
        <f ca="1"/>
        <v>17859.45</v>
      </c>
      <c r="H84" s="105">
        <f t="shared" ca="1" si="8"/>
        <v>-1.3578896787128536E-2</v>
      </c>
      <c r="N84" s="104" vm="613">
        <f ca="1"/>
        <v>44928</v>
      </c>
      <c r="O84" s="104" vm="616">
        <f ca="1"/>
        <v>278.1447</v>
      </c>
      <c r="P84" s="105">
        <f t="shared" ca="1" si="9"/>
        <v>-4.5190486668627905E-2</v>
      </c>
      <c r="R84" s="104" vm="613">
        <f ca="1"/>
        <v>44928</v>
      </c>
      <c r="S84" s="104" vm="617">
        <f ca="1"/>
        <v>473.66480000000001</v>
      </c>
      <c r="T84" s="105">
        <f t="shared" ca="1" si="10"/>
        <v>-2.2275688792634307E-2</v>
      </c>
      <c r="V84" s="104" vm="613">
        <f ca="1"/>
        <v>44928</v>
      </c>
      <c r="W84" s="104" vm="618">
        <f ca="1"/>
        <v>2116.4171000000001</v>
      </c>
      <c r="X84" s="105">
        <f t="shared" ca="1" si="11"/>
        <v>-3.8296050280309801E-3</v>
      </c>
      <c r="Z84" s="104" vm="613">
        <f ca="1"/>
        <v>44928</v>
      </c>
      <c r="AA84" s="104" vm="619">
        <f ca="1"/>
        <v>1294.25</v>
      </c>
      <c r="AB84" s="105">
        <f t="shared" ca="1" si="12"/>
        <v>-6.4102564102563875E-3</v>
      </c>
      <c r="AD84" s="104" vm="613">
        <f ca="1"/>
        <v>44928</v>
      </c>
      <c r="AE84" s="104" vm="620">
        <f ca="1"/>
        <v>324.8</v>
      </c>
      <c r="AF84" s="105">
        <f t="shared" ca="1" si="13"/>
        <v>-3.3333333333333326E-2</v>
      </c>
    </row>
    <row r="85" spans="2:32" x14ac:dyDescent="0.3">
      <c r="B85" s="104" vm="621">
        <f ca="1"/>
        <v>44935</v>
      </c>
      <c r="C85" s="104" vm="622">
        <f ca="1"/>
        <v>2909.15</v>
      </c>
      <c r="D85" s="105">
        <f t="shared" ca="1" si="7"/>
        <v>-2.325073865162508E-2</v>
      </c>
      <c r="F85" s="104" vm="621">
        <f ca="1"/>
        <v>44935</v>
      </c>
      <c r="G85" s="104" vm="623">
        <f ca="1"/>
        <v>17956.599999999999</v>
      </c>
      <c r="H85" s="105">
        <f t="shared" ca="1" si="8"/>
        <v>5.4396971911228054E-3</v>
      </c>
      <c r="N85" s="104" vm="621">
        <f ca="1"/>
        <v>44935</v>
      </c>
      <c r="O85" s="104" vm="624">
        <f ca="1"/>
        <v>274.16550000000001</v>
      </c>
      <c r="P85" s="105">
        <f t="shared" ca="1" si="9"/>
        <v>-1.4306222624410947E-2</v>
      </c>
      <c r="R85" s="104" vm="621">
        <f ca="1"/>
        <v>44935</v>
      </c>
      <c r="S85" s="104" vm="625">
        <f ca="1"/>
        <v>468.45650000000001</v>
      </c>
      <c r="T85" s="105">
        <f t="shared" ca="1" si="10"/>
        <v>-1.099575058142388E-2</v>
      </c>
      <c r="V85" s="104" vm="621">
        <f ca="1"/>
        <v>44935</v>
      </c>
      <c r="W85" s="104" vm="626">
        <f ca="1"/>
        <v>2129.9614000000001</v>
      </c>
      <c r="X85" s="105">
        <f t="shared" ca="1" si="11"/>
        <v>6.3996364421738949E-3</v>
      </c>
      <c r="Z85" s="104" vm="621">
        <f ca="1"/>
        <v>44935</v>
      </c>
      <c r="AA85" s="104" vm="627">
        <f ca="1"/>
        <v>1281.7</v>
      </c>
      <c r="AB85" s="105">
        <f t="shared" ca="1" si="12"/>
        <v>-9.6967355611357053E-3</v>
      </c>
      <c r="AD85" s="104" vm="621">
        <f ca="1"/>
        <v>44935</v>
      </c>
      <c r="AE85" s="104" vm="628">
        <f ca="1"/>
        <v>323.5</v>
      </c>
      <c r="AF85" s="105">
        <f t="shared" ca="1" si="13"/>
        <v>-4.0024630541872774E-3</v>
      </c>
    </row>
    <row r="86" spans="2:32" x14ac:dyDescent="0.3">
      <c r="B86" s="104" vm="629">
        <f ca="1"/>
        <v>44942</v>
      </c>
      <c r="C86" s="104" vm="630">
        <f ca="1"/>
        <v>2787.8</v>
      </c>
      <c r="D86" s="105">
        <f t="shared" ca="1" si="7"/>
        <v>-4.1713215200316234E-2</v>
      </c>
      <c r="F86" s="104" vm="629">
        <f ca="1"/>
        <v>44942</v>
      </c>
      <c r="G86" s="104" vm="631">
        <f ca="1"/>
        <v>18027.650000000001</v>
      </c>
      <c r="H86" s="105">
        <f t="shared" ca="1" si="8"/>
        <v>3.9567624160476988E-3</v>
      </c>
      <c r="N86" s="104" vm="629">
        <f ca="1"/>
        <v>44942</v>
      </c>
      <c r="O86" s="104" vm="632">
        <f ca="1"/>
        <v>277.58100000000002</v>
      </c>
      <c r="P86" s="105">
        <f t="shared" ca="1" si="9"/>
        <v>1.2457803771809495E-2</v>
      </c>
      <c r="R86" s="104" vm="629">
        <f ca="1"/>
        <v>44942</v>
      </c>
      <c r="S86" s="104" vm="633">
        <f ca="1"/>
        <v>464.28980000000001</v>
      </c>
      <c r="T86" s="105">
        <f t="shared" ca="1" si="10"/>
        <v>-8.8945291611921551E-3</v>
      </c>
      <c r="V86" s="104" vm="629">
        <f ca="1"/>
        <v>44942</v>
      </c>
      <c r="W86" s="104" vm="634">
        <f ca="1"/>
        <v>2162.4105</v>
      </c>
      <c r="X86" s="105">
        <f t="shared" ca="1" si="11"/>
        <v>1.5234595331164114E-2</v>
      </c>
      <c r="Z86" s="104" vm="629">
        <f ca="1"/>
        <v>44942</v>
      </c>
      <c r="AA86" s="104" vm="635">
        <f ca="1"/>
        <v>1231.0999999999999</v>
      </c>
      <c r="AB86" s="105">
        <f t="shared" ca="1" si="12"/>
        <v>-3.9478817195911731E-2</v>
      </c>
      <c r="AD86" s="104" vm="629">
        <f ca="1"/>
        <v>44942</v>
      </c>
      <c r="AE86" s="104" vm="636">
        <f ca="1"/>
        <v>309.82499999999999</v>
      </c>
      <c r="AF86" s="105">
        <f t="shared" ca="1" si="13"/>
        <v>-4.2272024729520852E-2</v>
      </c>
    </row>
    <row r="87" spans="2:32" x14ac:dyDescent="0.3">
      <c r="B87" s="104" vm="637">
        <f ca="1"/>
        <v>44949</v>
      </c>
      <c r="C87" s="104" vm="638">
        <f ca="1"/>
        <v>2722.65</v>
      </c>
      <c r="D87" s="105">
        <f t="shared" ca="1" si="7"/>
        <v>-2.3369682186670571E-2</v>
      </c>
      <c r="F87" s="104" vm="637">
        <f ca="1"/>
        <v>44949</v>
      </c>
      <c r="G87" s="104" vm="639">
        <f ca="1"/>
        <v>17604.349999999999</v>
      </c>
      <c r="H87" s="105">
        <f t="shared" ca="1" si="8"/>
        <v>-2.3480597859399488E-2</v>
      </c>
      <c r="N87" s="104" vm="637">
        <f ca="1"/>
        <v>44949</v>
      </c>
      <c r="O87" s="104" vm="640">
        <f ca="1"/>
        <v>272.14269999999999</v>
      </c>
      <c r="P87" s="105">
        <f t="shared" ca="1" si="9"/>
        <v>-1.9591758801935422E-2</v>
      </c>
      <c r="R87" s="104" vm="637">
        <f ca="1"/>
        <v>44949</v>
      </c>
      <c r="S87" s="104" vm="641">
        <f ca="1"/>
        <v>449.58150000000001</v>
      </c>
      <c r="T87" s="105">
        <f t="shared" ca="1" si="10"/>
        <v>-3.1679136608213199E-2</v>
      </c>
      <c r="V87" s="104" vm="637">
        <f ca="1"/>
        <v>44949</v>
      </c>
      <c r="W87" s="104" vm="642">
        <f ca="1"/>
        <v>2145.6116999999999</v>
      </c>
      <c r="X87" s="105">
        <f t="shared" ca="1" si="11"/>
        <v>-7.7685527331651238E-3</v>
      </c>
      <c r="Z87" s="104" vm="637">
        <f ca="1"/>
        <v>44949</v>
      </c>
      <c r="AA87" s="104" vm="643">
        <f ca="1"/>
        <v>1212.95</v>
      </c>
      <c r="AB87" s="105">
        <f t="shared" ca="1" si="12"/>
        <v>-1.474291284217355E-2</v>
      </c>
      <c r="AD87" s="104" vm="637">
        <f ca="1"/>
        <v>44949</v>
      </c>
      <c r="AE87" s="104" vm="644">
        <f ca="1"/>
        <v>313.85000000000002</v>
      </c>
      <c r="AF87" s="105">
        <f t="shared" ca="1" si="13"/>
        <v>1.2991204712337723E-2</v>
      </c>
    </row>
    <row r="88" spans="2:32" x14ac:dyDescent="0.3">
      <c r="B88" s="104" vm="645">
        <f ca="1"/>
        <v>44956</v>
      </c>
      <c r="C88" s="104" vm="646">
        <f ca="1"/>
        <v>2760.4</v>
      </c>
      <c r="D88" s="105">
        <f t="shared" ca="1" si="7"/>
        <v>1.3865168126641292E-2</v>
      </c>
      <c r="F88" s="104" vm="645">
        <f ca="1"/>
        <v>44956</v>
      </c>
      <c r="G88" s="104" vm="647">
        <f ca="1"/>
        <v>17854.05</v>
      </c>
      <c r="H88" s="105">
        <f t="shared" ca="1" si="8"/>
        <v>1.4183994296864233E-2</v>
      </c>
      <c r="N88" s="104" vm="645">
        <f ca="1"/>
        <v>44956</v>
      </c>
      <c r="O88" s="104" vm="648">
        <f ca="1"/>
        <v>276.98410000000001</v>
      </c>
      <c r="P88" s="105">
        <f t="shared" ca="1" si="9"/>
        <v>1.7789931532244063E-2</v>
      </c>
      <c r="R88" s="104" vm="645">
        <f ca="1"/>
        <v>44956</v>
      </c>
      <c r="S88" s="104" vm="649">
        <f ca="1"/>
        <v>465.24810000000002</v>
      </c>
      <c r="T88" s="105">
        <f t="shared" ca="1" si="10"/>
        <v>3.4847074445901294E-2</v>
      </c>
      <c r="V88" s="104" vm="645">
        <f ca="1"/>
        <v>44956</v>
      </c>
      <c r="W88" s="104" vm="650">
        <f ca="1"/>
        <v>2115.6992</v>
      </c>
      <c r="X88" s="105">
        <f t="shared" ca="1" si="11"/>
        <v>-1.3941245752901121E-2</v>
      </c>
      <c r="Z88" s="104" vm="645">
        <f ca="1"/>
        <v>44956</v>
      </c>
      <c r="AA88" s="104" vm="651">
        <f ca="1"/>
        <v>1136.0999999999999</v>
      </c>
      <c r="AB88" s="105">
        <f t="shared" ca="1" si="12"/>
        <v>-6.335792901603543E-2</v>
      </c>
      <c r="AD88" s="104" vm="645">
        <f ca="1"/>
        <v>44956</v>
      </c>
      <c r="AE88" s="104" vm="652">
        <f ca="1"/>
        <v>318.875</v>
      </c>
      <c r="AF88" s="105">
        <f t="shared" ca="1" si="13"/>
        <v>1.6010833200573504E-2</v>
      </c>
    </row>
    <row r="89" spans="2:32" x14ac:dyDescent="0.3">
      <c r="B89" s="104" vm="653">
        <f ca="1"/>
        <v>44963</v>
      </c>
      <c r="C89" s="104" vm="654">
        <f ca="1"/>
        <v>2804.6</v>
      </c>
      <c r="D89" s="105">
        <f t="shared" ca="1" si="7"/>
        <v>1.6012172148963888E-2</v>
      </c>
      <c r="F89" s="104" vm="653">
        <f ca="1"/>
        <v>44963</v>
      </c>
      <c r="G89" s="104" vm="655">
        <f ca="1"/>
        <v>17856.5</v>
      </c>
      <c r="H89" s="105">
        <f t="shared" ca="1" si="8"/>
        <v>1.372237671564136E-4</v>
      </c>
      <c r="N89" s="104" vm="653">
        <f ca="1"/>
        <v>44963</v>
      </c>
      <c r="O89" s="104" vm="656">
        <f ca="1"/>
        <v>278.27730000000003</v>
      </c>
      <c r="P89" s="105">
        <f t="shared" ca="1" si="9"/>
        <v>4.6688600536999303E-3</v>
      </c>
      <c r="R89" s="104" vm="653">
        <f ca="1"/>
        <v>44963</v>
      </c>
      <c r="S89" s="104" vm="657">
        <f ca="1"/>
        <v>476.33139999999997</v>
      </c>
      <c r="T89" s="105">
        <f t="shared" ca="1" si="10"/>
        <v>2.3822343390547784E-2</v>
      </c>
      <c r="V89" s="104" vm="653">
        <f ca="1"/>
        <v>44963</v>
      </c>
      <c r="W89" s="104" vm="658">
        <f ca="1"/>
        <v>2216.2051999999999</v>
      </c>
      <c r="X89" s="105">
        <f t="shared" ca="1" si="11"/>
        <v>4.7504862695037176E-2</v>
      </c>
      <c r="Z89" s="104" vm="653">
        <f ca="1"/>
        <v>44963</v>
      </c>
      <c r="AA89" s="104" vm="659">
        <f ca="1"/>
        <v>1161.8</v>
      </c>
      <c r="AB89" s="105">
        <f t="shared" ca="1" si="12"/>
        <v>2.2621248129566007E-2</v>
      </c>
      <c r="AD89" s="104" vm="653">
        <f ca="1"/>
        <v>44963</v>
      </c>
      <c r="AE89" s="104" vm="660">
        <f ca="1"/>
        <v>323.67500000000001</v>
      </c>
      <c r="AF89" s="105">
        <f t="shared" ca="1" si="13"/>
        <v>1.505292042336337E-2</v>
      </c>
    </row>
    <row r="90" spans="2:32" x14ac:dyDescent="0.3">
      <c r="B90" s="104" vm="661">
        <f ca="1"/>
        <v>44970</v>
      </c>
      <c r="C90" s="104" vm="662">
        <f ca="1"/>
        <v>2833.6</v>
      </c>
      <c r="D90" s="105">
        <f t="shared" ca="1" si="7"/>
        <v>1.0340155458888889E-2</v>
      </c>
      <c r="F90" s="104" vm="661">
        <f ca="1"/>
        <v>44970</v>
      </c>
      <c r="G90" s="104" vm="663">
        <f ca="1"/>
        <v>17944.2</v>
      </c>
      <c r="H90" s="105">
        <f t="shared" ca="1" si="8"/>
        <v>4.9113768095652155E-3</v>
      </c>
      <c r="N90" s="104" vm="661">
        <f ca="1"/>
        <v>44970</v>
      </c>
      <c r="O90" s="104" vm="664">
        <f ca="1"/>
        <v>274.99450000000002</v>
      </c>
      <c r="P90" s="105">
        <f t="shared" ca="1" si="9"/>
        <v>-1.1796865931931966E-2</v>
      </c>
      <c r="R90" s="104" vm="661">
        <f ca="1"/>
        <v>44970</v>
      </c>
      <c r="S90" s="104" vm="665">
        <f ca="1"/>
        <v>474.12310000000002</v>
      </c>
      <c r="T90" s="105">
        <f t="shared" ca="1" si="10"/>
        <v>-4.6360580049938926E-3</v>
      </c>
      <c r="V90" s="104" vm="661">
        <f ca="1"/>
        <v>44970</v>
      </c>
      <c r="W90" s="104" vm="666">
        <f ca="1"/>
        <v>2084.5902000000001</v>
      </c>
      <c r="X90" s="105">
        <f t="shared" ca="1" si="11"/>
        <v>-5.9387551297145125E-2</v>
      </c>
      <c r="Z90" s="104" vm="661">
        <f ca="1"/>
        <v>44970</v>
      </c>
      <c r="AA90" s="104" vm="667">
        <f ca="1"/>
        <v>1080.7</v>
      </c>
      <c r="AB90" s="105">
        <f t="shared" ca="1" si="12"/>
        <v>-6.9805474264072909E-2</v>
      </c>
      <c r="AD90" s="104" vm="661">
        <f ca="1"/>
        <v>44970</v>
      </c>
      <c r="AE90" s="104" vm="668">
        <f ca="1"/>
        <v>323.45</v>
      </c>
      <c r="AF90" s="105">
        <f t="shared" ca="1" si="13"/>
        <v>-6.9514173167539717E-4</v>
      </c>
    </row>
    <row r="91" spans="2:32" x14ac:dyDescent="0.3">
      <c r="B91" s="104" vm="669">
        <f ca="1"/>
        <v>44977</v>
      </c>
      <c r="C91" s="104" vm="670">
        <f ca="1"/>
        <v>2738.5</v>
      </c>
      <c r="D91" s="105">
        <f t="shared" ca="1" si="7"/>
        <v>-3.3561547148503679E-2</v>
      </c>
      <c r="F91" s="104" vm="669">
        <f ca="1"/>
        <v>44977</v>
      </c>
      <c r="G91" s="104" vm="671">
        <f ca="1"/>
        <v>17465.8</v>
      </c>
      <c r="H91" s="105">
        <f t="shared" ca="1" si="8"/>
        <v>-2.6660425095574092E-2</v>
      </c>
      <c r="N91" s="104" vm="669">
        <f ca="1"/>
        <v>44977</v>
      </c>
      <c r="O91" s="104" vm="672">
        <f ca="1"/>
        <v>278.012</v>
      </c>
      <c r="P91" s="105">
        <f t="shared" ca="1" si="9"/>
        <v>1.0972946731661937E-2</v>
      </c>
      <c r="R91" s="104" vm="669">
        <f ca="1"/>
        <v>44977</v>
      </c>
      <c r="S91" s="104" vm="673">
        <f ca="1"/>
        <v>465.03980000000001</v>
      </c>
      <c r="T91" s="105">
        <f t="shared" ca="1" si="10"/>
        <v>-1.9158104720061075E-2</v>
      </c>
      <c r="V91" s="104" vm="669">
        <f ca="1"/>
        <v>44977</v>
      </c>
      <c r="W91" s="104" vm="674">
        <f ca="1"/>
        <v>2100.4796999999999</v>
      </c>
      <c r="X91" s="105">
        <f t="shared" ca="1" si="11"/>
        <v>7.6223614598205369E-3</v>
      </c>
      <c r="Z91" s="104" vm="669">
        <f ca="1"/>
        <v>44977</v>
      </c>
      <c r="AA91" s="104" vm="675">
        <f ca="1"/>
        <v>1016.9</v>
      </c>
      <c r="AB91" s="105">
        <f t="shared" ca="1" si="12"/>
        <v>-5.9035810123068466E-2</v>
      </c>
      <c r="AD91" s="104" vm="669">
        <f ca="1"/>
        <v>44977</v>
      </c>
      <c r="AE91" s="104" vm="676">
        <f ca="1"/>
        <v>313.95</v>
      </c>
      <c r="AF91" s="105">
        <f t="shared" ca="1" si="13"/>
        <v>-2.9370845571185633E-2</v>
      </c>
    </row>
    <row r="92" spans="2:32" x14ac:dyDescent="0.3">
      <c r="B92" s="104" vm="677">
        <f ca="1"/>
        <v>44984</v>
      </c>
      <c r="C92" s="104" vm="678">
        <f ca="1"/>
        <v>2828.85</v>
      </c>
      <c r="D92" s="105">
        <f t="shared" ca="1" si="7"/>
        <v>3.2992514150082197E-2</v>
      </c>
      <c r="F92" s="104" vm="677">
        <f ca="1"/>
        <v>44984</v>
      </c>
      <c r="G92" s="104" vm="679">
        <f ca="1"/>
        <v>17594.349999999999</v>
      </c>
      <c r="H92" s="105">
        <f t="shared" ca="1" si="8"/>
        <v>7.360098020130712E-3</v>
      </c>
      <c r="N92" s="104" vm="677">
        <f ca="1"/>
        <v>44984</v>
      </c>
      <c r="O92" s="104" vm="680">
        <f ca="1"/>
        <v>272.30849999999998</v>
      </c>
      <c r="P92" s="105">
        <f t="shared" ca="1" si="9"/>
        <v>-2.0515301497777139E-2</v>
      </c>
      <c r="R92" s="104" vm="677">
        <f ca="1"/>
        <v>44984</v>
      </c>
      <c r="S92" s="104" vm="378">
        <f ca="1"/>
        <v>483.95639999999997</v>
      </c>
      <c r="T92" s="105">
        <f t="shared" ca="1" si="10"/>
        <v>4.0677378581360113E-2</v>
      </c>
      <c r="V92" s="104" vm="677">
        <f ca="1"/>
        <v>44984</v>
      </c>
      <c r="W92" s="104" vm="681">
        <f ca="1"/>
        <v>2091.3384000000001</v>
      </c>
      <c r="X92" s="105">
        <f t="shared" ca="1" si="11"/>
        <v>-4.3520058775144976E-3</v>
      </c>
      <c r="Z92" s="104" vm="677">
        <f ca="1"/>
        <v>44984</v>
      </c>
      <c r="AA92" s="104" vm="682">
        <f ca="1"/>
        <v>1079.5</v>
      </c>
      <c r="AB92" s="105">
        <f t="shared" ca="1" si="12"/>
        <v>6.1559642049365815E-2</v>
      </c>
      <c r="AD92" s="104" vm="677">
        <f ca="1"/>
        <v>44984</v>
      </c>
      <c r="AE92" s="104" vm="683">
        <f ca="1"/>
        <v>306.75</v>
      </c>
      <c r="AF92" s="105">
        <f t="shared" ca="1" si="13"/>
        <v>-2.2933588150979456E-2</v>
      </c>
    </row>
    <row r="93" spans="2:32" x14ac:dyDescent="0.3">
      <c r="B93" s="104" vm="684">
        <f ca="1"/>
        <v>44991</v>
      </c>
      <c r="C93" s="104" vm="685">
        <f ca="1"/>
        <v>2830.2</v>
      </c>
      <c r="D93" s="105">
        <f t="shared" ca="1" si="7"/>
        <v>4.772257277692038E-4</v>
      </c>
      <c r="F93" s="104" vm="684">
        <f ca="1"/>
        <v>44991</v>
      </c>
      <c r="G93" s="104" vm="686">
        <f ca="1"/>
        <v>17412.900000000001</v>
      </c>
      <c r="H93" s="105">
        <f t="shared" ca="1" si="8"/>
        <v>-1.0312969788596749E-2</v>
      </c>
      <c r="N93" s="104" vm="684">
        <f ca="1"/>
        <v>44991</v>
      </c>
      <c r="O93" s="104" vm="687">
        <f ca="1"/>
        <v>270.75</v>
      </c>
      <c r="P93" s="105">
        <f t="shared" ca="1" si="9"/>
        <v>-5.7232881088911114E-3</v>
      </c>
      <c r="R93" s="104" vm="684">
        <f ca="1"/>
        <v>44991</v>
      </c>
      <c r="S93" s="104" vm="688">
        <f ca="1"/>
        <v>490.91469999999998</v>
      </c>
      <c r="T93" s="105">
        <f t="shared" ca="1" si="10"/>
        <v>1.4377948096150783E-2</v>
      </c>
      <c r="V93" s="104" vm="684">
        <f ca="1"/>
        <v>44991</v>
      </c>
      <c r="W93" s="104" vm="689">
        <f ca="1"/>
        <v>2183.2296000000001</v>
      </c>
      <c r="X93" s="105">
        <f t="shared" ca="1" si="11"/>
        <v>4.3938943597076507E-2</v>
      </c>
      <c r="Z93" s="104" vm="684">
        <f ca="1"/>
        <v>44991</v>
      </c>
      <c r="AA93" s="104" vm="690">
        <f ca="1"/>
        <v>1042.45</v>
      </c>
      <c r="AB93" s="105">
        <f t="shared" ca="1" si="12"/>
        <v>-3.4321445113478455E-2</v>
      </c>
      <c r="AD93" s="104" vm="684">
        <f ca="1"/>
        <v>44991</v>
      </c>
      <c r="AE93" s="104" vm="691">
        <f ca="1"/>
        <v>311.47500000000002</v>
      </c>
      <c r="AF93" s="105">
        <f t="shared" ca="1" si="13"/>
        <v>1.5403422982885218E-2</v>
      </c>
    </row>
    <row r="94" spans="2:32" x14ac:dyDescent="0.3">
      <c r="B94" s="104" vm="692">
        <f ca="1"/>
        <v>44998</v>
      </c>
      <c r="C94" s="104" vm="693">
        <f ca="1"/>
        <v>2862.65</v>
      </c>
      <c r="D94" s="105">
        <f t="shared" ca="1" si="7"/>
        <v>1.1465620804183452E-2</v>
      </c>
      <c r="F94" s="104" vm="692">
        <f ca="1"/>
        <v>44998</v>
      </c>
      <c r="G94" s="104" vm="694">
        <f ca="1"/>
        <v>17100.05</v>
      </c>
      <c r="H94" s="105">
        <f t="shared" ca="1" si="8"/>
        <v>-1.796656501788918E-2</v>
      </c>
      <c r="N94" s="104" vm="692">
        <f ca="1"/>
        <v>44998</v>
      </c>
      <c r="O94" s="104" vm="695">
        <f ca="1"/>
        <v>264.74810000000002</v>
      </c>
      <c r="P94" s="105">
        <f t="shared" ca="1" si="9"/>
        <v>-2.2167682363804175E-2</v>
      </c>
      <c r="R94" s="104" vm="692">
        <f ca="1"/>
        <v>44998</v>
      </c>
      <c r="S94" s="104" vm="696">
        <f ca="1"/>
        <v>494.53969999999998</v>
      </c>
      <c r="T94" s="105">
        <f t="shared" ca="1" si="10"/>
        <v>7.38417488822396E-3</v>
      </c>
      <c r="V94" s="104" vm="692">
        <f ca="1"/>
        <v>44998</v>
      </c>
      <c r="W94" s="104" vm="697">
        <f ca="1"/>
        <v>2205.6759999999999</v>
      </c>
      <c r="X94" s="105">
        <f t="shared" ca="1" si="11"/>
        <v>1.0281282371766842E-2</v>
      </c>
      <c r="Z94" s="104" vm="692">
        <f ca="1"/>
        <v>44998</v>
      </c>
      <c r="AA94" s="104" vm="698">
        <f ca="1"/>
        <v>1042.6500000000001</v>
      </c>
      <c r="AB94" s="105">
        <f t="shared" ca="1" si="12"/>
        <v>1.9185572449531563E-4</v>
      </c>
      <c r="AD94" s="104" vm="692">
        <f ca="1"/>
        <v>44998</v>
      </c>
      <c r="AE94" s="104" vm="699">
        <f ca="1"/>
        <v>304.77499999999998</v>
      </c>
      <c r="AF94" s="105">
        <f t="shared" ca="1" si="13"/>
        <v>-2.1510554619150968E-2</v>
      </c>
    </row>
    <row r="95" spans="2:32" x14ac:dyDescent="0.3">
      <c r="B95" s="104" vm="700">
        <f ca="1"/>
        <v>45005</v>
      </c>
      <c r="C95" s="104" vm="701">
        <f ca="1"/>
        <v>2798.5</v>
      </c>
      <c r="D95" s="105">
        <f t="shared" ca="1" si="7"/>
        <v>-2.2409306062564416E-2</v>
      </c>
      <c r="F95" s="104" vm="700">
        <f ca="1"/>
        <v>45005</v>
      </c>
      <c r="G95" s="104" vm="702">
        <f ca="1"/>
        <v>16945.05</v>
      </c>
      <c r="H95" s="105">
        <f t="shared" ca="1" si="8"/>
        <v>-9.0643009815760678E-3</v>
      </c>
      <c r="N95" s="104" vm="700">
        <f ca="1"/>
        <v>45005</v>
      </c>
      <c r="O95" s="104" vm="703">
        <f ca="1"/>
        <v>254.93279999999999</v>
      </c>
      <c r="P95" s="105">
        <f t="shared" ca="1" si="9"/>
        <v>-3.7074109313721348E-2</v>
      </c>
      <c r="R95" s="104" vm="700">
        <f ca="1"/>
        <v>45005</v>
      </c>
      <c r="S95" s="104" vm="704">
        <f ca="1"/>
        <v>478.08139999999997</v>
      </c>
      <c r="T95" s="105">
        <f t="shared" ca="1" si="10"/>
        <v>-3.3280037982794886E-2</v>
      </c>
      <c r="V95" s="104" vm="700">
        <f ca="1"/>
        <v>45005</v>
      </c>
      <c r="W95" s="104" vm="705">
        <f ca="1"/>
        <v>2251.7172999999998</v>
      </c>
      <c r="X95" s="105">
        <f t="shared" ca="1" si="11"/>
        <v>2.0874008693933188E-2</v>
      </c>
      <c r="Z95" s="104" vm="700">
        <f ca="1"/>
        <v>45005</v>
      </c>
      <c r="AA95" s="104" vm="675">
        <f ca="1"/>
        <v>1016.9</v>
      </c>
      <c r="AB95" s="105">
        <f t="shared" ca="1" si="12"/>
        <v>-2.4696686328106399E-2</v>
      </c>
      <c r="AD95" s="104" vm="700">
        <f ca="1"/>
        <v>45005</v>
      </c>
      <c r="AE95" s="104" vm="706">
        <f ca="1"/>
        <v>321.32499999999999</v>
      </c>
      <c r="AF95" s="105">
        <f t="shared" ca="1" si="13"/>
        <v>5.4302354195718161E-2</v>
      </c>
    </row>
    <row r="96" spans="2:32" x14ac:dyDescent="0.3">
      <c r="B96" s="104" vm="707">
        <f ca="1"/>
        <v>45012</v>
      </c>
      <c r="C96" s="104" vm="708">
        <f ca="1"/>
        <v>2761.65</v>
      </c>
      <c r="D96" s="105">
        <f t="shared" ca="1" si="7"/>
        <v>-1.3167768447382544E-2</v>
      </c>
      <c r="F96" s="104" vm="707">
        <f ca="1"/>
        <v>45012</v>
      </c>
      <c r="G96" s="104" vm="709">
        <f ca="1"/>
        <v>17359.75</v>
      </c>
      <c r="H96" s="105">
        <f t="shared" ca="1" si="8"/>
        <v>2.4473223743807226E-2</v>
      </c>
      <c r="N96" s="104" vm="707">
        <f ca="1"/>
        <v>45012</v>
      </c>
      <c r="O96" s="104" vm="710">
        <f ca="1"/>
        <v>256.52449999999999</v>
      </c>
      <c r="P96" s="105">
        <f t="shared" ca="1" si="9"/>
        <v>6.2436061581718771E-3</v>
      </c>
      <c r="R96" s="104" vm="707">
        <f ca="1"/>
        <v>45012</v>
      </c>
      <c r="S96" s="104" vm="711">
        <f ca="1"/>
        <v>484.74810000000002</v>
      </c>
      <c r="T96" s="105">
        <f t="shared" ca="1" si="10"/>
        <v>1.3944696447090399E-2</v>
      </c>
      <c r="V96" s="104" vm="707">
        <f ca="1"/>
        <v>45012</v>
      </c>
      <c r="W96" s="104" vm="712">
        <f ca="1"/>
        <v>2202.0864999999999</v>
      </c>
      <c r="X96" s="105">
        <f t="shared" ca="1" si="11"/>
        <v>-2.2041310425602645E-2</v>
      </c>
      <c r="Z96" s="104" vm="707">
        <f ca="1"/>
        <v>45012</v>
      </c>
      <c r="AA96" s="104" vm="713">
        <f ca="1"/>
        <v>1008.35</v>
      </c>
      <c r="AB96" s="105">
        <f t="shared" ca="1" si="12"/>
        <v>-8.4079063821417277E-3</v>
      </c>
      <c r="AD96" s="104" vm="707">
        <f ca="1"/>
        <v>45012</v>
      </c>
      <c r="AE96" s="104" vm="714">
        <f ca="1"/>
        <v>322.27499999999998</v>
      </c>
      <c r="AF96" s="105">
        <f t="shared" ca="1" si="13"/>
        <v>2.9565082082003702E-3</v>
      </c>
    </row>
    <row r="97" spans="2:32" x14ac:dyDescent="0.3">
      <c r="B97" s="104" vm="715">
        <f ca="1"/>
        <v>45019</v>
      </c>
      <c r="C97" s="104" vm="716">
        <f ca="1"/>
        <v>2809.85</v>
      </c>
      <c r="D97" s="105">
        <f t="shared" ca="1" si="7"/>
        <v>1.7453334057538017E-2</v>
      </c>
      <c r="F97" s="104" vm="715">
        <f ca="1"/>
        <v>45019</v>
      </c>
      <c r="G97" s="104" vm="717">
        <f ca="1"/>
        <v>17599.150000000001</v>
      </c>
      <c r="H97" s="105">
        <f t="shared" ca="1" si="8"/>
        <v>1.3790521176860304E-2</v>
      </c>
      <c r="N97" s="104" vm="715">
        <f ca="1"/>
        <v>45019</v>
      </c>
      <c r="O97" s="104" vm="718">
        <f ca="1"/>
        <v>259.90679999999998</v>
      </c>
      <c r="P97" s="105">
        <f t="shared" ca="1" si="9"/>
        <v>1.3185095380753076E-2</v>
      </c>
      <c r="R97" s="104" vm="715">
        <f ca="1"/>
        <v>45019</v>
      </c>
      <c r="S97" s="104" vm="719">
        <f ca="1"/>
        <v>497.66469999999998</v>
      </c>
      <c r="T97" s="105">
        <f t="shared" ca="1" si="10"/>
        <v>2.6646004388671152E-2</v>
      </c>
      <c r="V97" s="104" vm="715">
        <f ca="1"/>
        <v>45019</v>
      </c>
      <c r="W97" s="104" vm="720">
        <f ca="1"/>
        <v>2135.9439000000002</v>
      </c>
      <c r="X97" s="105">
        <f t="shared" ca="1" si="11"/>
        <v>-3.0036331452011344E-2</v>
      </c>
      <c r="Z97" s="104" vm="715">
        <f ca="1"/>
        <v>45019</v>
      </c>
      <c r="AA97" s="104" vm="721">
        <f ca="1"/>
        <v>1086.75</v>
      </c>
      <c r="AB97" s="105">
        <f t="shared" ca="1" si="12"/>
        <v>7.7750780978826706E-2</v>
      </c>
      <c r="AD97" s="104" vm="715">
        <f ca="1"/>
        <v>45019</v>
      </c>
      <c r="AE97" s="104" vm="722">
        <f ca="1"/>
        <v>311.05</v>
      </c>
      <c r="AF97" s="105">
        <f t="shared" ca="1" si="13"/>
        <v>-3.4830501900550703E-2</v>
      </c>
    </row>
    <row r="98" spans="2:32" x14ac:dyDescent="0.3">
      <c r="B98" s="104" vm="723">
        <f ca="1"/>
        <v>45026</v>
      </c>
      <c r="C98" s="104" vm="724">
        <f ca="1"/>
        <v>2809.75</v>
      </c>
      <c r="D98" s="105">
        <f t="shared" ca="1" si="7"/>
        <v>-3.5589088385523659E-5</v>
      </c>
      <c r="F98" s="104" vm="723">
        <f ca="1"/>
        <v>45026</v>
      </c>
      <c r="G98" s="104" vm="725">
        <f ca="1"/>
        <v>17828</v>
      </c>
      <c r="H98" s="105">
        <f t="shared" ca="1" si="8"/>
        <v>1.3003468917532901E-2</v>
      </c>
      <c r="N98" s="104" vm="723">
        <f ca="1"/>
        <v>45026</v>
      </c>
      <c r="O98" s="104" vm="726">
        <f ca="1"/>
        <v>252.81059999999999</v>
      </c>
      <c r="P98" s="105">
        <f t="shared" ca="1" si="9"/>
        <v>-2.7302863949692724E-2</v>
      </c>
      <c r="R98" s="104" vm="723">
        <f ca="1"/>
        <v>45026</v>
      </c>
      <c r="S98" s="104" vm="727">
        <f ca="1"/>
        <v>482.16469999999998</v>
      </c>
      <c r="T98" s="105">
        <f t="shared" ca="1" si="10"/>
        <v>-3.1145468022947931E-2</v>
      </c>
      <c r="V98" s="104" vm="723">
        <f ca="1"/>
        <v>45026</v>
      </c>
      <c r="W98" s="104" vm="728">
        <f ca="1"/>
        <v>2205.2451999999998</v>
      </c>
      <c r="X98" s="105">
        <f t="shared" ca="1" si="11"/>
        <v>3.2445280983269154E-2</v>
      </c>
      <c r="Z98" s="104" vm="723">
        <f ca="1"/>
        <v>45026</v>
      </c>
      <c r="AA98" s="104" vm="729">
        <f ca="1"/>
        <v>1082.6500000000001</v>
      </c>
      <c r="AB98" s="105">
        <f t="shared" ca="1" si="12"/>
        <v>-3.7727168161949542E-3</v>
      </c>
      <c r="AD98" s="104" vm="723">
        <f ca="1"/>
        <v>45026</v>
      </c>
      <c r="AE98" s="104" vm="730">
        <f ca="1"/>
        <v>303.07499999999999</v>
      </c>
      <c r="AF98" s="105">
        <f t="shared" ca="1" si="13"/>
        <v>-2.5638964796656505E-2</v>
      </c>
    </row>
    <row r="99" spans="2:32" x14ac:dyDescent="0.3">
      <c r="B99" s="104" vm="731">
        <f ca="1"/>
        <v>45033</v>
      </c>
      <c r="C99" s="104" vm="732">
        <f ca="1"/>
        <v>2882.1</v>
      </c>
      <c r="D99" s="105">
        <f t="shared" ca="1" si="7"/>
        <v>2.5749621852477977E-2</v>
      </c>
      <c r="F99" s="104" vm="731">
        <f ca="1"/>
        <v>45033</v>
      </c>
      <c r="G99" s="104" vm="733">
        <f ca="1"/>
        <v>17624.05</v>
      </c>
      <c r="H99" s="105">
        <f t="shared" ca="1" si="8"/>
        <v>-1.143986986762402E-2</v>
      </c>
      <c r="N99" s="104" vm="731">
        <f ca="1"/>
        <v>45033</v>
      </c>
      <c r="O99" s="104" vm="734">
        <f ca="1"/>
        <v>253.5069</v>
      </c>
      <c r="P99" s="105">
        <f t="shared" ca="1" si="9"/>
        <v>2.7542357796705996E-3</v>
      </c>
      <c r="R99" s="104" vm="731">
        <f ca="1"/>
        <v>45033</v>
      </c>
      <c r="S99" s="104" vm="735">
        <f ca="1"/>
        <v>487.16469999999998</v>
      </c>
      <c r="T99" s="105">
        <f t="shared" ca="1" si="10"/>
        <v>1.0369900575467161E-2</v>
      </c>
      <c r="V99" s="104" vm="731">
        <f ca="1"/>
        <v>45033</v>
      </c>
      <c r="W99" s="104" vm="736">
        <f ca="1"/>
        <v>2204.9101999999998</v>
      </c>
      <c r="X99" s="105">
        <f t="shared" ca="1" si="11"/>
        <v>-1.5191054491359157E-4</v>
      </c>
      <c r="Z99" s="104" vm="731">
        <f ca="1"/>
        <v>45033</v>
      </c>
      <c r="AA99" s="104" vm="737">
        <f ca="1"/>
        <v>1146.8499999999999</v>
      </c>
      <c r="AB99" s="105">
        <f t="shared" ca="1" si="12"/>
        <v>5.9298942409827582E-2</v>
      </c>
      <c r="AD99" s="104" vm="731">
        <f ca="1"/>
        <v>45033</v>
      </c>
      <c r="AE99" s="104" vm="738">
        <f ca="1"/>
        <v>292.875</v>
      </c>
      <c r="AF99" s="105">
        <f t="shared" ca="1" si="13"/>
        <v>-3.3655035882207307E-2</v>
      </c>
    </row>
    <row r="100" spans="2:32" x14ac:dyDescent="0.3">
      <c r="B100" s="104" vm="739">
        <f ca="1"/>
        <v>45040</v>
      </c>
      <c r="C100" s="104" vm="740">
        <f ca="1"/>
        <v>2902.35</v>
      </c>
      <c r="D100" s="105">
        <f t="shared" ca="1" si="7"/>
        <v>7.0261267825544316E-3</v>
      </c>
      <c r="F100" s="104" vm="739">
        <f ca="1"/>
        <v>45040</v>
      </c>
      <c r="G100" s="104" vm="741">
        <f ca="1"/>
        <v>18065</v>
      </c>
      <c r="H100" s="105">
        <f t="shared" ca="1" si="8"/>
        <v>2.5019788300645995E-2</v>
      </c>
      <c r="N100" s="104" vm="739">
        <f ca="1"/>
        <v>45040</v>
      </c>
      <c r="O100" s="104" vm="742">
        <f ca="1"/>
        <v>252.11420000000001</v>
      </c>
      <c r="P100" s="105">
        <f t="shared" ca="1" si="9"/>
        <v>-5.4937360679334635E-3</v>
      </c>
      <c r="R100" s="104" vm="739">
        <f ca="1"/>
        <v>45040</v>
      </c>
      <c r="S100" s="104" vm="743">
        <f ca="1"/>
        <v>508.62299999999999</v>
      </c>
      <c r="T100" s="105">
        <f t="shared" ca="1" si="10"/>
        <v>4.4047321162637543E-2</v>
      </c>
      <c r="V100" s="104" vm="739">
        <f ca="1"/>
        <v>45040</v>
      </c>
      <c r="W100" s="104" vm="744">
        <f ca="1"/>
        <v>2225.2028</v>
      </c>
      <c r="X100" s="105">
        <f t="shared" ca="1" si="11"/>
        <v>9.2033680101801796E-3</v>
      </c>
      <c r="Z100" s="104" vm="739">
        <f ca="1"/>
        <v>45040</v>
      </c>
      <c r="AA100" s="104" vm="745">
        <f ca="1"/>
        <v>1153.55</v>
      </c>
      <c r="AB100" s="105">
        <f t="shared" ca="1" si="12"/>
        <v>5.8420892008546055E-3</v>
      </c>
      <c r="AD100" s="104" vm="739">
        <f ca="1"/>
        <v>45040</v>
      </c>
      <c r="AE100" s="104" vm="746">
        <f ca="1"/>
        <v>303.72500000000002</v>
      </c>
      <c r="AF100" s="105">
        <f t="shared" ca="1" si="13"/>
        <v>3.7046521553563805E-2</v>
      </c>
    </row>
    <row r="101" spans="2:32" x14ac:dyDescent="0.3">
      <c r="B101" s="104" vm="747">
        <f ca="1"/>
        <v>45048</v>
      </c>
      <c r="C101" s="104" vm="748">
        <f ca="1"/>
        <v>3012.95</v>
      </c>
      <c r="D101" s="105">
        <f t="shared" ca="1" si="7"/>
        <v>3.8107051182662222E-2</v>
      </c>
      <c r="F101" s="104" vm="747">
        <f ca="1"/>
        <v>45048</v>
      </c>
      <c r="G101" s="104" vm="749">
        <f ca="1"/>
        <v>18069</v>
      </c>
      <c r="H101" s="105">
        <f t="shared" ca="1" si="8"/>
        <v>2.2142264046509652E-4</v>
      </c>
      <c r="N101" s="104" vm="747">
        <f ca="1"/>
        <v>45048</v>
      </c>
      <c r="O101" s="104" vm="750">
        <f ca="1"/>
        <v>261.399</v>
      </c>
      <c r="P101" s="105">
        <f t="shared" ca="1" si="9"/>
        <v>3.6827755041167753E-2</v>
      </c>
      <c r="R101" s="104" vm="747">
        <f ca="1"/>
        <v>45048</v>
      </c>
      <c r="S101" s="104" vm="751">
        <f ca="1"/>
        <v>514.37289999999996</v>
      </c>
      <c r="T101" s="105">
        <f t="shared" ca="1" si="10"/>
        <v>1.1304836784809202E-2</v>
      </c>
      <c r="V101" s="104" vm="747">
        <f ca="1"/>
        <v>45048</v>
      </c>
      <c r="W101" s="104" vm="752">
        <f ca="1"/>
        <v>2305.4641000000001</v>
      </c>
      <c r="X101" s="105">
        <f t="shared" ca="1" si="11"/>
        <v>3.6069206815666499E-2</v>
      </c>
      <c r="Z101" s="104" vm="747">
        <f ca="1"/>
        <v>45048</v>
      </c>
      <c r="AA101" s="104" vm="753">
        <f ca="1"/>
        <v>1209.5</v>
      </c>
      <c r="AB101" s="105">
        <f t="shared" ca="1" si="12"/>
        <v>4.8502448961900368E-2</v>
      </c>
      <c r="AD101" s="104" vm="747">
        <f ca="1"/>
        <v>45048</v>
      </c>
      <c r="AE101" s="104" vm="754">
        <f ca="1"/>
        <v>307.8</v>
      </c>
      <c r="AF101" s="105">
        <f t="shared" ca="1" si="13"/>
        <v>1.3416742118692815E-2</v>
      </c>
    </row>
    <row r="102" spans="2:32" x14ac:dyDescent="0.3">
      <c r="B102" s="104" vm="755">
        <f ca="1"/>
        <v>45054</v>
      </c>
      <c r="C102" s="104" vm="756">
        <f ca="1"/>
        <v>3131.1</v>
      </c>
      <c r="D102" s="105">
        <f t="shared" ca="1" si="7"/>
        <v>3.921405931064248E-2</v>
      </c>
      <c r="F102" s="104" vm="755">
        <f ca="1"/>
        <v>45054</v>
      </c>
      <c r="G102" s="104" vm="757">
        <f ca="1"/>
        <v>18314.8</v>
      </c>
      <c r="H102" s="105">
        <f t="shared" ca="1" si="8"/>
        <v>1.3603409153799317E-2</v>
      </c>
      <c r="N102" s="104" vm="755">
        <f ca="1"/>
        <v>45054</v>
      </c>
      <c r="O102" s="104" vm="758">
        <f ca="1"/>
        <v>277.44830000000002</v>
      </c>
      <c r="P102" s="105">
        <f t="shared" ca="1" si="9"/>
        <v>6.1397710014192919E-2</v>
      </c>
      <c r="R102" s="104" vm="755">
        <f ca="1"/>
        <v>45054</v>
      </c>
      <c r="S102" s="104" vm="759">
        <f ca="1"/>
        <v>528.03959999999995</v>
      </c>
      <c r="T102" s="105">
        <f t="shared" ca="1" si="10"/>
        <v>2.6569634597779057E-2</v>
      </c>
      <c r="V102" s="104" vm="755">
        <f ca="1"/>
        <v>45054</v>
      </c>
      <c r="W102" s="104" vm="760">
        <f ca="1"/>
        <v>2364.7147</v>
      </c>
      <c r="X102" s="105">
        <f t="shared" ca="1" si="11"/>
        <v>2.5700074878632906E-2</v>
      </c>
      <c r="Z102" s="104" vm="755">
        <f ca="1"/>
        <v>45054</v>
      </c>
      <c r="AA102" s="104" vm="761">
        <f ca="1"/>
        <v>1301.05</v>
      </c>
      <c r="AB102" s="105">
        <f t="shared" ca="1" si="12"/>
        <v>7.5692434890450633E-2</v>
      </c>
      <c r="AD102" s="104" vm="755">
        <f ca="1"/>
        <v>45054</v>
      </c>
      <c r="AE102" s="104" vm="762">
        <f ca="1"/>
        <v>328.65</v>
      </c>
      <c r="AF102" s="105">
        <f t="shared" ca="1" si="13"/>
        <v>6.7738791423001876E-2</v>
      </c>
    </row>
    <row r="103" spans="2:32" x14ac:dyDescent="0.3">
      <c r="B103" s="104" vm="763">
        <f ca="1"/>
        <v>45061</v>
      </c>
      <c r="C103" s="104" vm="764">
        <f ca="1"/>
        <v>3084.45</v>
      </c>
      <c r="D103" s="105">
        <f t="shared" ca="1" si="7"/>
        <v>-1.4898917313404314E-2</v>
      </c>
      <c r="F103" s="104" vm="763">
        <f ca="1"/>
        <v>45061</v>
      </c>
      <c r="G103" s="104" vm="765">
        <f ca="1"/>
        <v>18203.400000000001</v>
      </c>
      <c r="H103" s="105">
        <f t="shared" ca="1" si="8"/>
        <v>-6.0825125035489647E-3</v>
      </c>
      <c r="N103" s="104" vm="763">
        <f ca="1"/>
        <v>45061</v>
      </c>
      <c r="O103" s="104" vm="766">
        <f ca="1"/>
        <v>270.84949999999998</v>
      </c>
      <c r="P103" s="105">
        <f t="shared" ca="1" si="9"/>
        <v>-2.3783890548257247E-2</v>
      </c>
      <c r="R103" s="104" vm="763">
        <f ca="1"/>
        <v>45061</v>
      </c>
      <c r="S103" s="104" vm="767">
        <f ca="1"/>
        <v>521.03959999999995</v>
      </c>
      <c r="T103" s="105">
        <f t="shared" ca="1" si="10"/>
        <v>-1.3256581513962251E-2</v>
      </c>
      <c r="V103" s="104" vm="763">
        <f ca="1"/>
        <v>45061</v>
      </c>
      <c r="W103" s="104" vm="768">
        <f ca="1"/>
        <v>2329.8247999999999</v>
      </c>
      <c r="X103" s="105">
        <f t="shared" ca="1" si="11"/>
        <v>-1.4754380306427728E-2</v>
      </c>
      <c r="Z103" s="104" vm="763">
        <f ca="1"/>
        <v>45061</v>
      </c>
      <c r="AA103" s="104" vm="769">
        <f ca="1"/>
        <v>1403.65</v>
      </c>
      <c r="AB103" s="105">
        <f t="shared" ca="1" si="12"/>
        <v>7.88593828061952E-2</v>
      </c>
      <c r="AD103" s="104" vm="763">
        <f ca="1"/>
        <v>45061</v>
      </c>
      <c r="AE103" s="104" vm="770">
        <f ca="1"/>
        <v>311.10000000000002</v>
      </c>
      <c r="AF103" s="105">
        <f t="shared" ca="1" si="13"/>
        <v>-5.3400273847558077E-2</v>
      </c>
    </row>
    <row r="104" spans="2:32" x14ac:dyDescent="0.3">
      <c r="B104" s="104" vm="771">
        <f ca="1"/>
        <v>45068</v>
      </c>
      <c r="C104" s="104" vm="772">
        <f ca="1"/>
        <v>3128.4</v>
      </c>
      <c r="D104" s="105">
        <f t="shared" ca="1" si="7"/>
        <v>1.4248893643923566E-2</v>
      </c>
      <c r="F104" s="104" vm="771">
        <f ca="1"/>
        <v>45068</v>
      </c>
      <c r="G104" s="104" vm="773">
        <f ca="1"/>
        <v>18499.349999999999</v>
      </c>
      <c r="H104" s="105">
        <f t="shared" ca="1" si="8"/>
        <v>1.6257951811200044E-2</v>
      </c>
      <c r="N104" s="104" vm="771">
        <f ca="1"/>
        <v>45068</v>
      </c>
      <c r="O104" s="104" vm="774">
        <f ca="1"/>
        <v>272.1096</v>
      </c>
      <c r="P104" s="105">
        <f t="shared" ca="1" si="9"/>
        <v>4.6523992106317635E-3</v>
      </c>
      <c r="R104" s="104" vm="771">
        <f ca="1"/>
        <v>45068</v>
      </c>
      <c r="S104" s="104" vm="775">
        <f ca="1"/>
        <v>539.24779999999998</v>
      </c>
      <c r="T104" s="105">
        <f t="shared" ca="1" si="10"/>
        <v>3.4945904303626873E-2</v>
      </c>
      <c r="V104" s="104" vm="771">
        <f ca="1"/>
        <v>45068</v>
      </c>
      <c r="W104" s="104" vm="776">
        <f ca="1"/>
        <v>2392.1385</v>
      </c>
      <c r="X104" s="105">
        <f t="shared" ca="1" si="11"/>
        <v>2.6746088375400712E-2</v>
      </c>
      <c r="Z104" s="104" vm="771">
        <f ca="1"/>
        <v>45068</v>
      </c>
      <c r="AA104" s="104" vm="777">
        <f ca="1"/>
        <v>1507.4</v>
      </c>
      <c r="AB104" s="105">
        <f t="shared" ca="1" si="12"/>
        <v>7.3914437359740681E-2</v>
      </c>
      <c r="AD104" s="104" vm="771">
        <f ca="1"/>
        <v>45068</v>
      </c>
      <c r="AE104" s="104" vm="778">
        <f ca="1"/>
        <v>298.95</v>
      </c>
      <c r="AF104" s="105">
        <f t="shared" ca="1" si="13"/>
        <v>-3.9054966248794676E-2</v>
      </c>
    </row>
    <row r="105" spans="2:32" x14ac:dyDescent="0.3">
      <c r="B105" s="104" vm="779">
        <f ca="1"/>
        <v>45075</v>
      </c>
      <c r="C105" s="104" vm="780">
        <f ca="1"/>
        <v>3237.25</v>
      </c>
      <c r="D105" s="105">
        <f t="shared" ca="1" si="7"/>
        <v>3.4794143971359048E-2</v>
      </c>
      <c r="F105" s="104" vm="779">
        <f ca="1"/>
        <v>45075</v>
      </c>
      <c r="G105" s="104" vm="781">
        <f ca="1"/>
        <v>18534.099999999999</v>
      </c>
      <c r="H105" s="105">
        <f t="shared" ca="1" si="8"/>
        <v>1.8784443777755122E-3</v>
      </c>
      <c r="N105" s="104" vm="779">
        <f ca="1"/>
        <v>45075</v>
      </c>
      <c r="O105" s="104" vm="782">
        <f ca="1"/>
        <v>282.5881</v>
      </c>
      <c r="P105" s="105">
        <f t="shared" ca="1" si="9"/>
        <v>3.850838044670235E-2</v>
      </c>
      <c r="R105" s="104" vm="779">
        <f ca="1"/>
        <v>45075</v>
      </c>
      <c r="S105" s="104" vm="783">
        <f ca="1"/>
        <v>543.70619999999997</v>
      </c>
      <c r="T105" s="105">
        <f t="shared" ca="1" si="10"/>
        <v>8.267813053664641E-3</v>
      </c>
      <c r="V105" s="104" vm="779">
        <f ca="1"/>
        <v>45075</v>
      </c>
      <c r="W105" s="104" vm="784">
        <f ca="1"/>
        <v>2348.1073000000001</v>
      </c>
      <c r="X105" s="105">
        <f t="shared" ca="1" si="11"/>
        <v>-1.8406626539391402E-2</v>
      </c>
      <c r="Z105" s="104" vm="779">
        <f ca="1"/>
        <v>45075</v>
      </c>
      <c r="AA105" s="104" vm="785">
        <f ca="1"/>
        <v>1460.45</v>
      </c>
      <c r="AB105" s="105">
        <f t="shared" ca="1" si="12"/>
        <v>-3.1146344699482631E-2</v>
      </c>
      <c r="AD105" s="104" vm="779">
        <f ca="1"/>
        <v>45075</v>
      </c>
      <c r="AE105" s="104" vm="786">
        <f ca="1"/>
        <v>305.45</v>
      </c>
      <c r="AF105" s="105">
        <f t="shared" ca="1" si="13"/>
        <v>2.1742766348887832E-2</v>
      </c>
    </row>
    <row r="106" spans="2:32" x14ac:dyDescent="0.3">
      <c r="B106" s="104" vm="787">
        <f ca="1"/>
        <v>45082</v>
      </c>
      <c r="C106" s="104" vm="788">
        <f ca="1"/>
        <v>3180.55</v>
      </c>
      <c r="D106" s="105">
        <f t="shared" ca="1" si="7"/>
        <v>-1.7514866012819486E-2</v>
      </c>
      <c r="F106" s="104" vm="787">
        <f ca="1"/>
        <v>45082</v>
      </c>
      <c r="G106" s="104" vm="789">
        <f ca="1"/>
        <v>18563.400000000001</v>
      </c>
      <c r="H106" s="105">
        <f t="shared" ca="1" si="8"/>
        <v>1.5808698561032841E-3</v>
      </c>
      <c r="N106" s="104" vm="787">
        <f ca="1"/>
        <v>45082</v>
      </c>
      <c r="O106" s="104" vm="790">
        <f ca="1"/>
        <v>287.56209999999999</v>
      </c>
      <c r="P106" s="105">
        <f t="shared" ca="1" si="9"/>
        <v>1.7601590442060333E-2</v>
      </c>
      <c r="R106" s="104" vm="787">
        <f ca="1"/>
        <v>45082</v>
      </c>
      <c r="S106" s="104" vm="791">
        <f ca="1"/>
        <v>539.74779999999998</v>
      </c>
      <c r="T106" s="105">
        <f t="shared" ca="1" si="10"/>
        <v>-7.2804025409310968E-3</v>
      </c>
      <c r="V106" s="104" vm="787">
        <f ca="1"/>
        <v>45082</v>
      </c>
      <c r="W106" s="104" vm="792">
        <f ca="1"/>
        <v>2255.7375000000002</v>
      </c>
      <c r="X106" s="105">
        <f t="shared" ca="1" si="11"/>
        <v>-3.9337980849512233E-2</v>
      </c>
      <c r="Z106" s="104" vm="787">
        <f ca="1"/>
        <v>45082</v>
      </c>
      <c r="AA106" s="104" vm="793">
        <f ca="1"/>
        <v>1417</v>
      </c>
      <c r="AB106" s="105">
        <f t="shared" ca="1" si="12"/>
        <v>-2.9751104111746418E-2</v>
      </c>
      <c r="AD106" s="104" vm="787">
        <f ca="1"/>
        <v>45082</v>
      </c>
      <c r="AE106" s="104" vm="794">
        <f ca="1"/>
        <v>343.75</v>
      </c>
      <c r="AF106" s="105">
        <f t="shared" ca="1" si="13"/>
        <v>0.12538877066623022</v>
      </c>
    </row>
    <row r="107" spans="2:32" x14ac:dyDescent="0.3">
      <c r="B107" s="104" vm="795">
        <f ca="1"/>
        <v>45089</v>
      </c>
      <c r="C107" s="104" vm="796">
        <f ca="1"/>
        <v>3316.85</v>
      </c>
      <c r="D107" s="105">
        <f t="shared" ca="1" si="7"/>
        <v>4.2854223326154184E-2</v>
      </c>
      <c r="F107" s="104" vm="795">
        <f ca="1"/>
        <v>45089</v>
      </c>
      <c r="G107" s="104" vm="797">
        <f ca="1"/>
        <v>18826</v>
      </c>
      <c r="H107" s="105">
        <f t="shared" ca="1" si="8"/>
        <v>1.4146115474535925E-2</v>
      </c>
      <c r="N107" s="104" vm="795">
        <f ca="1"/>
        <v>45089</v>
      </c>
      <c r="O107" s="104" vm="798">
        <f ca="1"/>
        <v>300.26229999999998</v>
      </c>
      <c r="P107" s="105">
        <f t="shared" ca="1" si="9"/>
        <v>4.4165069040739358E-2</v>
      </c>
      <c r="R107" s="104" vm="795">
        <f ca="1"/>
        <v>45089</v>
      </c>
      <c r="S107" s="104" vm="799">
        <f ca="1"/>
        <v>561.2894</v>
      </c>
      <c r="T107" s="105">
        <f t="shared" ca="1" si="10"/>
        <v>3.9910491529562497E-2</v>
      </c>
      <c r="V107" s="104" vm="795">
        <f ca="1"/>
        <v>45089</v>
      </c>
      <c r="W107" s="104" vm="800">
        <f ca="1"/>
        <v>2347.4850999999999</v>
      </c>
      <c r="X107" s="105">
        <f t="shared" ca="1" si="11"/>
        <v>4.0672994973927512E-2</v>
      </c>
      <c r="Z107" s="104" vm="795">
        <f ca="1"/>
        <v>45089</v>
      </c>
      <c r="AA107" s="104" vm="801">
        <f ca="1"/>
        <v>1418.05</v>
      </c>
      <c r="AB107" s="105">
        <f t="shared" ca="1" si="12"/>
        <v>7.4100211714878128E-4</v>
      </c>
      <c r="AD107" s="104" vm="795">
        <f ca="1"/>
        <v>45089</v>
      </c>
      <c r="AE107" s="104" vm="802">
        <f ca="1"/>
        <v>352.5</v>
      </c>
      <c r="AF107" s="105">
        <f t="shared" ca="1" si="13"/>
        <v>2.5454545454545396E-2</v>
      </c>
    </row>
    <row r="108" spans="2:32" x14ac:dyDescent="0.3">
      <c r="B108" s="104" vm="803">
        <f ca="1"/>
        <v>45096</v>
      </c>
      <c r="C108" s="104" vm="804">
        <f ca="1"/>
        <v>3297.7</v>
      </c>
      <c r="D108" s="105">
        <f t="shared" ca="1" si="7"/>
        <v>-5.7735502057675303E-3</v>
      </c>
      <c r="F108" s="104" vm="803">
        <f ca="1"/>
        <v>45096</v>
      </c>
      <c r="G108" s="104" vm="805">
        <f ca="1"/>
        <v>18665.5</v>
      </c>
      <c r="H108" s="105">
        <f t="shared" ca="1" si="8"/>
        <v>-8.5254435355359703E-3</v>
      </c>
      <c r="N108" s="104" vm="803">
        <f ca="1"/>
        <v>45096</v>
      </c>
      <c r="O108" s="104" vm="806">
        <f ca="1"/>
        <v>304.0093</v>
      </c>
      <c r="P108" s="105">
        <f t="shared" ca="1" si="9"/>
        <v>1.2479089116415931E-2</v>
      </c>
      <c r="R108" s="104" vm="803">
        <f ca="1"/>
        <v>45096</v>
      </c>
      <c r="S108" s="104" vm="807">
        <f ca="1"/>
        <v>563.0394</v>
      </c>
      <c r="T108" s="105">
        <f t="shared" ca="1" si="10"/>
        <v>3.1178212166487196E-3</v>
      </c>
      <c r="V108" s="104" vm="803">
        <f ca="1"/>
        <v>45096</v>
      </c>
      <c r="W108" s="104" vm="808">
        <f ca="1"/>
        <v>2347.3416000000002</v>
      </c>
      <c r="X108" s="105">
        <f t="shared" ca="1" si="11"/>
        <v>-6.1129248488001053E-5</v>
      </c>
      <c r="Z108" s="104" vm="803">
        <f ca="1"/>
        <v>45096</v>
      </c>
      <c r="AA108" s="104" vm="809">
        <f ca="1"/>
        <v>1421.2</v>
      </c>
      <c r="AB108" s="105">
        <f t="shared" ca="1" si="12"/>
        <v>2.2213603187475339E-3</v>
      </c>
      <c r="AD108" s="104" vm="803">
        <f ca="1"/>
        <v>45096</v>
      </c>
      <c r="AE108" s="104" vm="810">
        <f ca="1"/>
        <v>345.65</v>
      </c>
      <c r="AF108" s="105">
        <f t="shared" ca="1" si="13"/>
        <v>-1.9432624113475239E-2</v>
      </c>
    </row>
    <row r="109" spans="2:32" x14ac:dyDescent="0.3">
      <c r="B109" s="104" vm="811">
        <f ca="1"/>
        <v>45103</v>
      </c>
      <c r="C109" s="104" vm="812">
        <f ca="1"/>
        <v>3362.05</v>
      </c>
      <c r="D109" s="105">
        <f t="shared" ca="1" si="7"/>
        <v>1.9513600388149532E-2</v>
      </c>
      <c r="F109" s="104" vm="811">
        <f ca="1"/>
        <v>45103</v>
      </c>
      <c r="G109" s="104" vm="813">
        <f ca="1"/>
        <v>19189.05</v>
      </c>
      <c r="H109" s="105">
        <f t="shared" ca="1" si="8"/>
        <v>2.8049074495727355E-2</v>
      </c>
      <c r="N109" s="104" vm="811">
        <f ca="1"/>
        <v>45103</v>
      </c>
      <c r="O109" s="104" vm="814">
        <f ca="1"/>
        <v>298.73689999999999</v>
      </c>
      <c r="P109" s="105">
        <f t="shared" ca="1" si="9"/>
        <v>-1.7342890497099916E-2</v>
      </c>
      <c r="R109" s="104" vm="811">
        <f ca="1"/>
        <v>45103</v>
      </c>
      <c r="S109" s="104" vm="815">
        <f ca="1"/>
        <v>565.08109999999999</v>
      </c>
      <c r="T109" s="105">
        <f t="shared" ca="1" si="10"/>
        <v>3.6262115937180095E-3</v>
      </c>
      <c r="V109" s="104" vm="811">
        <f ca="1"/>
        <v>45103</v>
      </c>
      <c r="W109" s="104" vm="816">
        <f ca="1"/>
        <v>2328.7240000000002</v>
      </c>
      <c r="X109" s="105">
        <f t="shared" ca="1" si="11"/>
        <v>-7.9313551977266972E-3</v>
      </c>
      <c r="Z109" s="104" vm="811">
        <f ca="1"/>
        <v>45103</v>
      </c>
      <c r="AA109" s="104" vm="817">
        <f ca="1"/>
        <v>1428.9</v>
      </c>
      <c r="AB109" s="105">
        <f t="shared" ca="1" si="12"/>
        <v>5.4179566563468118E-3</v>
      </c>
      <c r="AD109" s="104" vm="811">
        <f ca="1"/>
        <v>45103</v>
      </c>
      <c r="AE109" s="104" vm="818">
        <f ca="1"/>
        <v>345.7</v>
      </c>
      <c r="AF109" s="105">
        <f t="shared" ca="1" si="13"/>
        <v>1.4465499783011815E-4</v>
      </c>
    </row>
    <row r="110" spans="2:32" x14ac:dyDescent="0.3">
      <c r="B110" s="104" vm="819">
        <f ca="1"/>
        <v>45110</v>
      </c>
      <c r="C110" s="104" vm="510">
        <f ca="1"/>
        <v>3343.7</v>
      </c>
      <c r="D110" s="105">
        <f t="shared" ca="1" si="7"/>
        <v>-5.4579795065511361E-3</v>
      </c>
      <c r="F110" s="104" vm="819">
        <f ca="1"/>
        <v>45110</v>
      </c>
      <c r="G110" s="104" vm="820">
        <f ca="1"/>
        <v>19331.8</v>
      </c>
      <c r="H110" s="105">
        <f t="shared" ca="1" si="8"/>
        <v>7.4391384669902916E-3</v>
      </c>
      <c r="N110" s="104" vm="819">
        <f ca="1"/>
        <v>45110</v>
      </c>
      <c r="O110" s="104" vm="821">
        <f ca="1"/>
        <v>312.1651</v>
      </c>
      <c r="P110" s="105">
        <f t="shared" ca="1" si="9"/>
        <v>4.4949920816611533E-2</v>
      </c>
      <c r="R110" s="104" vm="819">
        <f ca="1"/>
        <v>45110</v>
      </c>
      <c r="S110" s="104" vm="822">
        <f ca="1"/>
        <v>560.70609999999999</v>
      </c>
      <c r="T110" s="105">
        <f t="shared" ca="1" si="10"/>
        <v>-7.7422515104469403E-3</v>
      </c>
      <c r="V110" s="104" vm="819">
        <f ca="1"/>
        <v>45110</v>
      </c>
      <c r="W110" s="104" vm="823">
        <f ca="1"/>
        <v>2408.5545000000002</v>
      </c>
      <c r="X110" s="105">
        <f t="shared" ca="1" si="11"/>
        <v>3.4280790681935791E-2</v>
      </c>
      <c r="Z110" s="104" vm="819">
        <f ca="1"/>
        <v>45110</v>
      </c>
      <c r="AA110" s="104" vm="824">
        <f ca="1"/>
        <v>1448.45</v>
      </c>
      <c r="AB110" s="105">
        <f t="shared" ca="1" si="12"/>
        <v>1.3681853173769909E-2</v>
      </c>
      <c r="AD110" s="104" vm="819">
        <f ca="1"/>
        <v>45110</v>
      </c>
      <c r="AE110" s="104" vm="825">
        <f ca="1"/>
        <v>358.2</v>
      </c>
      <c r="AF110" s="105">
        <f t="shared" ca="1" si="13"/>
        <v>3.61585189470639E-2</v>
      </c>
    </row>
    <row r="111" spans="2:32" x14ac:dyDescent="0.3">
      <c r="B111" s="104" vm="826">
        <f ca="1"/>
        <v>45117</v>
      </c>
      <c r="C111" s="104" vm="827">
        <f ca="1"/>
        <v>3429.75</v>
      </c>
      <c r="D111" s="105">
        <f t="shared" ca="1" si="7"/>
        <v>2.5734964261147963E-2</v>
      </c>
      <c r="F111" s="104" vm="826">
        <f ca="1"/>
        <v>45117</v>
      </c>
      <c r="G111" s="104" vm="828">
        <f ca="1"/>
        <v>19564.5</v>
      </c>
      <c r="H111" s="105">
        <f t="shared" ca="1" si="8"/>
        <v>1.2037161567986399E-2</v>
      </c>
      <c r="N111" s="104" vm="826">
        <f ca="1"/>
        <v>45117</v>
      </c>
      <c r="O111" s="104" vm="829">
        <f ca="1"/>
        <v>306.29579999999999</v>
      </c>
      <c r="P111" s="105">
        <f t="shared" ca="1" si="9"/>
        <v>-1.880190963051287E-2</v>
      </c>
      <c r="R111" s="104" vm="826">
        <f ca="1"/>
        <v>45117</v>
      </c>
      <c r="S111" s="104" vm="830">
        <f ca="1"/>
        <v>556.74779999999998</v>
      </c>
      <c r="T111" s="105">
        <f t="shared" ca="1" si="10"/>
        <v>-7.0594915946161629E-3</v>
      </c>
      <c r="V111" s="104" vm="826">
        <f ca="1"/>
        <v>45117</v>
      </c>
      <c r="W111" s="104" vm="831">
        <f ca="1"/>
        <v>2624.4987999999998</v>
      </c>
      <c r="X111" s="105">
        <f t="shared" ca="1" si="11"/>
        <v>8.9657219714147862E-2</v>
      </c>
      <c r="Z111" s="104" vm="826">
        <f ca="1"/>
        <v>45117</v>
      </c>
      <c r="AA111" s="104" vm="832">
        <f ca="1"/>
        <v>1425.7</v>
      </c>
      <c r="AB111" s="105">
        <f t="shared" ca="1" si="12"/>
        <v>-1.5706444820325127E-2</v>
      </c>
      <c r="AD111" s="104" vm="826">
        <f ca="1"/>
        <v>45117</v>
      </c>
      <c r="AE111" s="104" vm="833">
        <f ca="1"/>
        <v>349.15</v>
      </c>
      <c r="AF111" s="105">
        <f t="shared" ca="1" si="13"/>
        <v>-2.5265214963707483E-2</v>
      </c>
    </row>
    <row r="112" spans="2:32" x14ac:dyDescent="0.3">
      <c r="B112" s="104" vm="834">
        <f ca="1"/>
        <v>45124</v>
      </c>
      <c r="C112" s="104" vm="835">
        <f ca="1"/>
        <v>3517.7</v>
      </c>
      <c r="D112" s="105">
        <f t="shared" ca="1" si="7"/>
        <v>2.564326845980025E-2</v>
      </c>
      <c r="F112" s="104" vm="834">
        <f ca="1"/>
        <v>45124</v>
      </c>
      <c r="G112" s="104" vm="836">
        <f ca="1"/>
        <v>19745</v>
      </c>
      <c r="H112" s="105">
        <f t="shared" ca="1" si="8"/>
        <v>9.225893838329613E-3</v>
      </c>
      <c r="N112" s="104" vm="834">
        <f ca="1"/>
        <v>45124</v>
      </c>
      <c r="O112" s="104" vm="837">
        <f ca="1"/>
        <v>321.1182</v>
      </c>
      <c r="P112" s="105">
        <f t="shared" ca="1" si="9"/>
        <v>4.8392436331154531E-2</v>
      </c>
      <c r="R112" s="104" vm="834">
        <f ca="1"/>
        <v>45124</v>
      </c>
      <c r="S112" s="104" vm="838">
        <f ca="1"/>
        <v>575.95600000000002</v>
      </c>
      <c r="T112" s="105">
        <f t="shared" ca="1" si="10"/>
        <v>3.450072007469096E-2</v>
      </c>
      <c r="V112" s="104" vm="834">
        <f ca="1"/>
        <v>45124</v>
      </c>
      <c r="W112" s="104" vm="839">
        <f ca="1"/>
        <v>2567.4497000000001</v>
      </c>
      <c r="X112" s="105">
        <f t="shared" ca="1" si="11"/>
        <v>-2.1737140820944467E-2</v>
      </c>
      <c r="Z112" s="104" vm="834">
        <f ca="1"/>
        <v>45124</v>
      </c>
      <c r="AA112" s="104" vm="840">
        <f ca="1"/>
        <v>1499.9</v>
      </c>
      <c r="AB112" s="105">
        <f t="shared" ca="1" si="12"/>
        <v>5.2044609665427455E-2</v>
      </c>
      <c r="AD112" s="104" vm="834">
        <f ca="1"/>
        <v>45124</v>
      </c>
      <c r="AE112" s="104" vm="841">
        <f ca="1"/>
        <v>353.65</v>
      </c>
      <c r="AF112" s="105">
        <f t="shared" ca="1" si="13"/>
        <v>1.2888443362451651E-2</v>
      </c>
    </row>
    <row r="113" spans="2:32" x14ac:dyDescent="0.3">
      <c r="B113" s="104" vm="842">
        <f ca="1"/>
        <v>45131</v>
      </c>
      <c r="C113" s="104" vm="843">
        <f ca="1"/>
        <v>3390.7</v>
      </c>
      <c r="D113" s="105">
        <f t="shared" ca="1" si="7"/>
        <v>-3.6103135571538214E-2</v>
      </c>
      <c r="F113" s="104" vm="842">
        <f ca="1"/>
        <v>45131</v>
      </c>
      <c r="G113" s="104" vm="844">
        <f ca="1"/>
        <v>19646.05</v>
      </c>
      <c r="H113" s="105">
        <f t="shared" ca="1" si="8"/>
        <v>-5.0113952899468739E-3</v>
      </c>
      <c r="N113" s="104" vm="842">
        <f ca="1"/>
        <v>45131</v>
      </c>
      <c r="O113" s="104" vm="845">
        <f ca="1"/>
        <v>325.89319999999998</v>
      </c>
      <c r="P113" s="105">
        <f t="shared" ca="1" si="9"/>
        <v>1.4869913944460356E-2</v>
      </c>
      <c r="R113" s="104" vm="842">
        <f ca="1"/>
        <v>45131</v>
      </c>
      <c r="S113" s="104" vm="846">
        <f ca="1"/>
        <v>566.37270000000001</v>
      </c>
      <c r="T113" s="105">
        <f t="shared" ca="1" si="10"/>
        <v>-1.6638944641604536E-2</v>
      </c>
      <c r="V113" s="104" vm="842">
        <f ca="1"/>
        <v>45131</v>
      </c>
      <c r="W113" s="104" vm="847">
        <f ca="1"/>
        <v>2602.9618</v>
      </c>
      <c r="X113" s="105">
        <f t="shared" ca="1" si="11"/>
        <v>1.3831663381759673E-2</v>
      </c>
      <c r="Z113" s="104" vm="842">
        <f ca="1"/>
        <v>45131</v>
      </c>
      <c r="AA113" s="104" vm="848">
        <f ca="1"/>
        <v>1575.05</v>
      </c>
      <c r="AB113" s="105">
        <f t="shared" ca="1" si="12"/>
        <v>5.010334022268137E-2</v>
      </c>
      <c r="AD113" s="104" vm="842">
        <f ca="1"/>
        <v>45131</v>
      </c>
      <c r="AE113" s="104" vm="849">
        <f ca="1"/>
        <v>372.8</v>
      </c>
      <c r="AF113" s="105">
        <f t="shared" ca="1" si="13"/>
        <v>5.4149582920967054E-2</v>
      </c>
    </row>
    <row r="114" spans="2:32" x14ac:dyDescent="0.3">
      <c r="B114" s="104" vm="850">
        <f ca="1"/>
        <v>45138</v>
      </c>
      <c r="C114" s="104" vm="851">
        <f ca="1"/>
        <v>3339.65</v>
      </c>
      <c r="D114" s="105">
        <f t="shared" ca="1" si="7"/>
        <v>-1.5055888164685727E-2</v>
      </c>
      <c r="F114" s="104" vm="850">
        <f ca="1"/>
        <v>45138</v>
      </c>
      <c r="G114" s="104" vm="852">
        <f ca="1"/>
        <v>19517</v>
      </c>
      <c r="H114" s="105">
        <f t="shared" ca="1" si="8"/>
        <v>-6.568750461288575E-3</v>
      </c>
      <c r="N114" s="104" vm="850">
        <f ca="1"/>
        <v>45138</v>
      </c>
      <c r="O114" s="104" vm="853">
        <f ca="1"/>
        <v>325.39580000000001</v>
      </c>
      <c r="P114" s="105">
        <f t="shared" ca="1" si="9"/>
        <v>-1.52626688743418E-3</v>
      </c>
      <c r="R114" s="104" vm="850">
        <f ca="1"/>
        <v>45138</v>
      </c>
      <c r="S114" s="104" vm="854">
        <f ca="1"/>
        <v>587.20600000000002</v>
      </c>
      <c r="T114" s="105">
        <f t="shared" ca="1" si="10"/>
        <v>3.6783729159262091E-2</v>
      </c>
      <c r="V114" s="104" vm="850">
        <f ca="1"/>
        <v>45138</v>
      </c>
      <c r="W114" s="104" vm="855">
        <f ca="1"/>
        <v>2701.9841999999999</v>
      </c>
      <c r="X114" s="105">
        <f t="shared" ca="1" si="11"/>
        <v>3.8042202540198522E-2</v>
      </c>
      <c r="Z114" s="104" vm="850">
        <f ca="1"/>
        <v>45138</v>
      </c>
      <c r="AA114" s="104" vm="856">
        <f ca="1"/>
        <v>1583.35</v>
      </c>
      <c r="AB114" s="105">
        <f t="shared" ca="1" si="12"/>
        <v>5.2696739786037838E-3</v>
      </c>
      <c r="AD114" s="104" vm="850">
        <f ca="1"/>
        <v>45138</v>
      </c>
      <c r="AE114" s="104" vm="857">
        <f ca="1"/>
        <v>395.7</v>
      </c>
      <c r="AF114" s="105">
        <f t="shared" ca="1" si="13"/>
        <v>6.1427038626609365E-2</v>
      </c>
    </row>
    <row r="115" spans="2:32" x14ac:dyDescent="0.3">
      <c r="B115" s="104" vm="858">
        <f ca="1"/>
        <v>45145</v>
      </c>
      <c r="C115" s="104" vm="859">
        <f ca="1"/>
        <v>3185.35</v>
      </c>
      <c r="D115" s="105">
        <f t="shared" ca="1" si="7"/>
        <v>-4.620244636414006E-2</v>
      </c>
      <c r="F115" s="104" vm="858">
        <f ca="1"/>
        <v>45145</v>
      </c>
      <c r="G115" s="104" vm="860">
        <f ca="1"/>
        <v>19428.3</v>
      </c>
      <c r="H115" s="105">
        <f t="shared" ca="1" si="8"/>
        <v>-4.5447558538710409E-3</v>
      </c>
      <c r="N115" s="104" vm="858">
        <f ca="1"/>
        <v>45145</v>
      </c>
      <c r="O115" s="104" vm="861">
        <f ca="1"/>
        <v>327.28590000000003</v>
      </c>
      <c r="P115" s="105">
        <f t="shared" ca="1" si="9"/>
        <v>5.8086183042314055E-3</v>
      </c>
      <c r="R115" s="104" vm="858">
        <f ca="1"/>
        <v>45145</v>
      </c>
      <c r="S115" s="104" vm="862">
        <f ca="1"/>
        <v>583.91430000000003</v>
      </c>
      <c r="T115" s="105">
        <f t="shared" ca="1" si="10"/>
        <v>-5.6056988518509154E-3</v>
      </c>
      <c r="V115" s="104" vm="858">
        <f ca="1"/>
        <v>45145</v>
      </c>
      <c r="W115" s="104" vm="863">
        <f ca="1"/>
        <v>2698.3946999999998</v>
      </c>
      <c r="X115" s="105">
        <f t="shared" ca="1" si="11"/>
        <v>-1.3284681679486265E-3</v>
      </c>
      <c r="Z115" s="104" vm="858">
        <f ca="1"/>
        <v>45145</v>
      </c>
      <c r="AA115" s="104" vm="864">
        <f ca="1"/>
        <v>1544.85</v>
      </c>
      <c r="AB115" s="105">
        <f t="shared" ca="1" si="12"/>
        <v>-2.4315533520699817E-2</v>
      </c>
      <c r="AD115" s="104" vm="858">
        <f ca="1"/>
        <v>45145</v>
      </c>
      <c r="AE115" s="104" vm="865">
        <f ca="1"/>
        <v>387.5</v>
      </c>
      <c r="AF115" s="105">
        <f t="shared" ca="1" si="13"/>
        <v>-2.0722769775082139E-2</v>
      </c>
    </row>
    <row r="116" spans="2:32" x14ac:dyDescent="0.3">
      <c r="B116" s="104" vm="866">
        <f ca="1"/>
        <v>45152</v>
      </c>
      <c r="C116" s="104" vm="867">
        <f ca="1"/>
        <v>3163.55</v>
      </c>
      <c r="D116" s="105">
        <f t="shared" ca="1" si="7"/>
        <v>-6.8438319179995322E-3</v>
      </c>
      <c r="F116" s="104" vm="866">
        <f ca="1"/>
        <v>45152</v>
      </c>
      <c r="G116" s="104" vm="868">
        <f ca="1"/>
        <v>19310.150000000001</v>
      </c>
      <c r="H116" s="105">
        <f t="shared" ca="1" si="8"/>
        <v>-6.0813349598265454E-3</v>
      </c>
      <c r="N116" s="104" vm="866">
        <f ca="1"/>
        <v>45152</v>
      </c>
      <c r="O116" s="104" vm="869">
        <f ca="1"/>
        <v>326.39060000000001</v>
      </c>
      <c r="P116" s="105">
        <f t="shared" ca="1" si="9"/>
        <v>-2.7355287838554121E-3</v>
      </c>
      <c r="R116" s="104" vm="866">
        <f ca="1"/>
        <v>45152</v>
      </c>
      <c r="S116" s="104" vm="870">
        <f ca="1"/>
        <v>587.70600000000002</v>
      </c>
      <c r="T116" s="105">
        <f t="shared" ca="1" si="10"/>
        <v>6.4935898983806695E-3</v>
      </c>
      <c r="V116" s="104" vm="866">
        <f ca="1"/>
        <v>45152</v>
      </c>
      <c r="W116" s="104" vm="871">
        <f ca="1"/>
        <v>2705.6694000000002</v>
      </c>
      <c r="X116" s="105">
        <f t="shared" ca="1" si="11"/>
        <v>2.6959362171887769E-3</v>
      </c>
      <c r="Z116" s="104" vm="866">
        <f ca="1"/>
        <v>45152</v>
      </c>
      <c r="AA116" s="104" vm="872">
        <f ca="1"/>
        <v>1498.05</v>
      </c>
      <c r="AB116" s="105">
        <f t="shared" ca="1" si="12"/>
        <v>-3.0294203320710755E-2</v>
      </c>
      <c r="AD116" s="104" vm="866">
        <f ca="1"/>
        <v>45152</v>
      </c>
      <c r="AE116" s="104" vm="873">
        <f ca="1"/>
        <v>418.2</v>
      </c>
      <c r="AF116" s="105">
        <f t="shared" ca="1" si="13"/>
        <v>7.9225806451612923E-2</v>
      </c>
    </row>
    <row r="117" spans="2:32" x14ac:dyDescent="0.3">
      <c r="B117" s="104" vm="874">
        <f ca="1"/>
        <v>45159</v>
      </c>
      <c r="C117" s="104" vm="875">
        <f ca="1"/>
        <v>3259.3</v>
      </c>
      <c r="D117" s="105">
        <f t="shared" ca="1" si="7"/>
        <v>3.0266630841933928E-2</v>
      </c>
      <c r="F117" s="104" vm="874">
        <f ca="1"/>
        <v>45159</v>
      </c>
      <c r="G117" s="104" vm="876">
        <f ca="1"/>
        <v>19265.8</v>
      </c>
      <c r="H117" s="105">
        <f t="shared" ca="1" si="8"/>
        <v>-2.2967196008317758E-3</v>
      </c>
      <c r="N117" s="104" vm="874">
        <f ca="1"/>
        <v>45159</v>
      </c>
      <c r="O117" s="104" vm="877">
        <f ca="1"/>
        <v>320.5213</v>
      </c>
      <c r="P117" s="105">
        <f t="shared" ca="1" si="9"/>
        <v>-1.7982441896304602E-2</v>
      </c>
      <c r="R117" s="104" vm="874">
        <f ca="1"/>
        <v>45159</v>
      </c>
      <c r="S117" s="104" vm="878">
        <f ca="1"/>
        <v>586.95600000000002</v>
      </c>
      <c r="T117" s="105">
        <f t="shared" ca="1" si="10"/>
        <v>-1.2761482782207567E-3</v>
      </c>
      <c r="V117" s="104" vm="874">
        <f ca="1"/>
        <v>45159</v>
      </c>
      <c r="W117" s="104" vm="879">
        <f ca="1"/>
        <v>2646.3229999999999</v>
      </c>
      <c r="X117" s="105">
        <f t="shared" ca="1" si="11"/>
        <v>-2.1934091430387048E-2</v>
      </c>
      <c r="Z117" s="104" vm="874">
        <f ca="1"/>
        <v>45159</v>
      </c>
      <c r="AA117" s="104" vm="880">
        <f ca="1"/>
        <v>1515.55</v>
      </c>
      <c r="AB117" s="105">
        <f t="shared" ca="1" si="12"/>
        <v>1.168185307566505E-2</v>
      </c>
      <c r="AD117" s="104" vm="874">
        <f ca="1"/>
        <v>45159</v>
      </c>
      <c r="AE117" s="104" vm="881">
        <f ca="1"/>
        <v>404.6</v>
      </c>
      <c r="AF117" s="105">
        <f t="shared" ca="1" si="13"/>
        <v>-3.2520325203251987E-2</v>
      </c>
    </row>
    <row r="118" spans="2:32" x14ac:dyDescent="0.3">
      <c r="B118" s="104" vm="882">
        <f ca="1"/>
        <v>45166</v>
      </c>
      <c r="C118" s="104" vm="883">
        <f ca="1"/>
        <v>3259.55</v>
      </c>
      <c r="D118" s="105">
        <f t="shared" ca="1" si="7"/>
        <v>7.6703586659787604E-5</v>
      </c>
      <c r="F118" s="104" vm="882">
        <f ca="1"/>
        <v>45166</v>
      </c>
      <c r="G118" s="104" vm="884">
        <f ca="1"/>
        <v>19435.3</v>
      </c>
      <c r="H118" s="105">
        <f t="shared" ca="1" si="8"/>
        <v>8.7979736112697715E-3</v>
      </c>
      <c r="N118" s="104" vm="882">
        <f ca="1"/>
        <v>45166</v>
      </c>
      <c r="O118" s="104" vm="885">
        <f ca="1"/>
        <v>338.22859999999997</v>
      </c>
      <c r="P118" s="105">
        <f t="shared" ca="1" si="9"/>
        <v>5.524531442996139E-2</v>
      </c>
      <c r="R118" s="104" vm="882">
        <f ca="1"/>
        <v>45166</v>
      </c>
      <c r="S118" s="104" vm="886">
        <f ca="1"/>
        <v>599.87260000000003</v>
      </c>
      <c r="T118" s="105">
        <f t="shared" ca="1" si="10"/>
        <v>2.2006078820218322E-2</v>
      </c>
      <c r="V118" s="104" vm="882">
        <f ca="1"/>
        <v>45166</v>
      </c>
      <c r="W118" s="104" vm="887">
        <f ca="1"/>
        <v>2619.4256999999998</v>
      </c>
      <c r="X118" s="105">
        <f t="shared" ca="1" si="11"/>
        <v>-1.0164027596026637E-2</v>
      </c>
      <c r="Z118" s="104" vm="882">
        <f ca="1"/>
        <v>45166</v>
      </c>
      <c r="AA118" s="104" vm="888">
        <f ca="1"/>
        <v>1583.2</v>
      </c>
      <c r="AB118" s="105">
        <f t="shared" ca="1" si="12"/>
        <v>4.4637260400514744E-2</v>
      </c>
      <c r="AD118" s="104" vm="882">
        <f ca="1"/>
        <v>45166</v>
      </c>
      <c r="AE118" s="104" vm="889">
        <f ca="1"/>
        <v>418.25</v>
      </c>
      <c r="AF118" s="105">
        <f t="shared" ca="1" si="13"/>
        <v>3.3737024221453193E-2</v>
      </c>
    </row>
    <row r="119" spans="2:32" x14ac:dyDescent="0.3">
      <c r="B119" s="104" vm="890">
        <f ca="1"/>
        <v>45173</v>
      </c>
      <c r="C119" s="104" vm="891">
        <f ca="1"/>
        <v>3238.05</v>
      </c>
      <c r="D119" s="105">
        <f t="shared" ca="1" si="7"/>
        <v>-6.5960025156847069E-3</v>
      </c>
      <c r="F119" s="104" vm="890">
        <f ca="1"/>
        <v>45173</v>
      </c>
      <c r="G119" s="104" vm="892">
        <f ca="1"/>
        <v>19819.95</v>
      </c>
      <c r="H119" s="105">
        <f t="shared" ca="1" si="8"/>
        <v>1.9791307569216876E-2</v>
      </c>
      <c r="N119" s="104" vm="890">
        <f ca="1"/>
        <v>45173</v>
      </c>
      <c r="O119" s="104" vm="893">
        <f ca="1"/>
        <v>335.49290000000002</v>
      </c>
      <c r="P119" s="105">
        <f t="shared" ca="1" si="9"/>
        <v>-8.0883166000744744E-3</v>
      </c>
      <c r="R119" s="104" vm="890">
        <f ca="1"/>
        <v>45173</v>
      </c>
      <c r="S119" s="104" vm="894">
        <f ca="1"/>
        <v>597.41430000000003</v>
      </c>
      <c r="T119" s="105">
        <f t="shared" ca="1" si="10"/>
        <v>-4.0980368164840186E-3</v>
      </c>
      <c r="V119" s="104" vm="890">
        <f ca="1"/>
        <v>45173</v>
      </c>
      <c r="W119" s="104" vm="895">
        <f ca="1"/>
        <v>2591.5711000000001</v>
      </c>
      <c r="X119" s="105">
        <f t="shared" ca="1" si="11"/>
        <v>-1.0633857642917577E-2</v>
      </c>
      <c r="Z119" s="104" vm="890">
        <f ca="1"/>
        <v>45173</v>
      </c>
      <c r="AA119" s="104" vm="896">
        <f ca="1"/>
        <v>1580.8</v>
      </c>
      <c r="AB119" s="105">
        <f t="shared" ca="1" si="12"/>
        <v>-1.5159171298636531E-3</v>
      </c>
      <c r="AD119" s="104" vm="890">
        <f ca="1"/>
        <v>45173</v>
      </c>
      <c r="AE119" s="104" vm="897">
        <f ca="1"/>
        <v>415.15</v>
      </c>
      <c r="AF119" s="105">
        <f t="shared" ca="1" si="13"/>
        <v>-7.4118350268977951E-3</v>
      </c>
    </row>
    <row r="120" spans="2:32" x14ac:dyDescent="0.3">
      <c r="B120" s="104" vm="898">
        <f ca="1"/>
        <v>45180</v>
      </c>
      <c r="C120" s="104" vm="899">
        <f ca="1"/>
        <v>3196.65</v>
      </c>
      <c r="D120" s="105">
        <f t="shared" ca="1" si="7"/>
        <v>-1.2785472738222059E-2</v>
      </c>
      <c r="F120" s="104" vm="898">
        <f ca="1"/>
        <v>45180</v>
      </c>
      <c r="G120" s="104" vm="900">
        <f ca="1"/>
        <v>20192.349999999999</v>
      </c>
      <c r="H120" s="105">
        <f t="shared" ca="1" si="8"/>
        <v>1.8789149316723597E-2</v>
      </c>
      <c r="N120" s="104" vm="898">
        <f ca="1"/>
        <v>45180</v>
      </c>
      <c r="O120" s="104" vm="901">
        <f ca="1"/>
        <v>324.94819999999999</v>
      </c>
      <c r="P120" s="105">
        <f t="shared" ca="1" si="9"/>
        <v>-3.1430471404909066E-2</v>
      </c>
      <c r="R120" s="104" vm="898">
        <f ca="1"/>
        <v>45180</v>
      </c>
      <c r="S120" s="104" vm="902">
        <f ca="1"/>
        <v>599.74760000000003</v>
      </c>
      <c r="T120" s="105">
        <f t="shared" ca="1" si="10"/>
        <v>3.9056647957707025E-3</v>
      </c>
      <c r="V120" s="104" vm="898">
        <f ca="1"/>
        <v>45180</v>
      </c>
      <c r="W120" s="104" vm="903">
        <f ca="1"/>
        <v>2484.2212</v>
      </c>
      <c r="X120" s="105">
        <f t="shared" ca="1" si="11"/>
        <v>-4.1422710725551815E-2</v>
      </c>
      <c r="Z120" s="104" vm="898">
        <f ca="1"/>
        <v>45180</v>
      </c>
      <c r="AA120" s="104" vm="904">
        <f ca="1"/>
        <v>1535.15</v>
      </c>
      <c r="AB120" s="105">
        <f t="shared" ca="1" si="12"/>
        <v>-2.8877783400809598E-2</v>
      </c>
      <c r="AD120" s="104" vm="898">
        <f ca="1"/>
        <v>45180</v>
      </c>
      <c r="AE120" s="104" vm="905">
        <f ca="1"/>
        <v>400.5</v>
      </c>
      <c r="AF120" s="105">
        <f t="shared" ca="1" si="13"/>
        <v>-3.5288449957846524E-2</v>
      </c>
    </row>
    <row r="121" spans="2:32" x14ac:dyDescent="0.3">
      <c r="B121" s="104" vm="906">
        <f ca="1"/>
        <v>45187</v>
      </c>
      <c r="C121" s="104" vm="218">
        <f ca="1"/>
        <v>3274.85</v>
      </c>
      <c r="D121" s="105">
        <f t="shared" ca="1" si="7"/>
        <v>2.4463109818090745E-2</v>
      </c>
      <c r="F121" s="104" vm="906">
        <f ca="1"/>
        <v>45187</v>
      </c>
      <c r="G121" s="104" vm="907">
        <f ca="1"/>
        <v>19674.25</v>
      </c>
      <c r="H121" s="105">
        <f t="shared" ca="1" si="8"/>
        <v>-2.5658231954180599E-2</v>
      </c>
      <c r="N121" s="104" vm="906">
        <f ca="1"/>
        <v>45187</v>
      </c>
      <c r="O121" s="104" vm="908">
        <f ca="1"/>
        <v>320.77</v>
      </c>
      <c r="P121" s="105">
        <f t="shared" ca="1" si="9"/>
        <v>-1.2858049375254255E-2</v>
      </c>
      <c r="R121" s="104" vm="906">
        <f ca="1"/>
        <v>45187</v>
      </c>
      <c r="S121" s="104" vm="909">
        <f ca="1"/>
        <v>669.3</v>
      </c>
      <c r="T121" s="105">
        <f t="shared" ca="1" si="10"/>
        <v>0.1159694511491165</v>
      </c>
      <c r="V121" s="104" vm="906">
        <f ca="1"/>
        <v>45187</v>
      </c>
      <c r="W121" s="104" vm="910">
        <f ca="1"/>
        <v>2412.2397000000001</v>
      </c>
      <c r="X121" s="105">
        <f t="shared" ca="1" si="11"/>
        <v>-2.8975479317220221E-2</v>
      </c>
      <c r="Z121" s="104" vm="906">
        <f ca="1"/>
        <v>45187</v>
      </c>
      <c r="AA121" s="104" vm="911">
        <f ca="1"/>
        <v>1549.15</v>
      </c>
      <c r="AB121" s="105">
        <f t="shared" ca="1" si="12"/>
        <v>9.1196300035827349E-3</v>
      </c>
      <c r="AD121" s="104" vm="906">
        <f ca="1"/>
        <v>45187</v>
      </c>
      <c r="AE121" s="104" vm="912">
        <f ca="1"/>
        <v>390.1</v>
      </c>
      <c r="AF121" s="105">
        <f t="shared" ca="1" si="13"/>
        <v>-2.5967540574282078E-2</v>
      </c>
    </row>
    <row r="122" spans="2:32" x14ac:dyDescent="0.3">
      <c r="B122" s="104" vm="913">
        <f ca="1"/>
        <v>45194</v>
      </c>
      <c r="C122" s="104" vm="914">
        <f ca="1"/>
        <v>3161.05</v>
      </c>
      <c r="D122" s="105">
        <f t="shared" ca="1" si="7"/>
        <v>-3.4749683191596437E-2</v>
      </c>
      <c r="F122" s="104" vm="913">
        <f ca="1"/>
        <v>45194</v>
      </c>
      <c r="G122" s="104" vm="915">
        <f ca="1"/>
        <v>19638.3</v>
      </c>
      <c r="H122" s="105">
        <f t="shared" ca="1" si="8"/>
        <v>-1.8272615220402688E-3</v>
      </c>
      <c r="N122" s="104" vm="913">
        <f ca="1"/>
        <v>45194</v>
      </c>
      <c r="O122" s="104" vm="916">
        <f ca="1"/>
        <v>315.79610000000002</v>
      </c>
      <c r="P122" s="105">
        <f t="shared" ca="1" si="9"/>
        <v>-1.5506125884590105E-2</v>
      </c>
      <c r="R122" s="104" vm="913">
        <f ca="1"/>
        <v>45194</v>
      </c>
      <c r="S122" s="104" vm="917">
        <f ca="1"/>
        <v>568.85</v>
      </c>
      <c r="T122" s="105">
        <f t="shared" ca="1" si="10"/>
        <v>-0.15008217540714175</v>
      </c>
      <c r="V122" s="104" vm="913">
        <f ca="1"/>
        <v>45194</v>
      </c>
      <c r="W122" s="104" vm="918">
        <f ca="1"/>
        <v>2401.2319000000002</v>
      </c>
      <c r="X122" s="105">
        <f t="shared" ca="1" si="11"/>
        <v>-4.5633110175575808E-3</v>
      </c>
      <c r="Z122" s="104" vm="913">
        <f ca="1"/>
        <v>45194</v>
      </c>
      <c r="AA122" s="104" vm="919">
        <f ca="1"/>
        <v>1485.8</v>
      </c>
      <c r="AB122" s="105">
        <f t="shared" ca="1" si="12"/>
        <v>-4.089339315108298E-2</v>
      </c>
      <c r="AD122" s="104" vm="913">
        <f ca="1"/>
        <v>45194</v>
      </c>
      <c r="AE122" s="104" vm="920">
        <f ca="1"/>
        <v>388.65</v>
      </c>
      <c r="AF122" s="105">
        <f t="shared" ca="1" si="13"/>
        <v>-3.7169956421431172E-3</v>
      </c>
    </row>
    <row r="123" spans="2:32" x14ac:dyDescent="0.3">
      <c r="B123" s="104" vm="921">
        <f ca="1"/>
        <v>45202</v>
      </c>
      <c r="C123" s="104" vm="922">
        <f ca="1"/>
        <v>3195.75</v>
      </c>
      <c r="D123" s="105">
        <f t="shared" ca="1" si="7"/>
        <v>1.0977365116021431E-2</v>
      </c>
      <c r="F123" s="104" vm="921">
        <f ca="1"/>
        <v>45202</v>
      </c>
      <c r="G123" s="104" vm="923">
        <f ca="1"/>
        <v>19653.5</v>
      </c>
      <c r="H123" s="105">
        <f t="shared" ca="1" si="8"/>
        <v>7.7399774929598486E-4</v>
      </c>
      <c r="N123" s="104" vm="921">
        <f ca="1"/>
        <v>45202</v>
      </c>
      <c r="O123" s="104" vm="924">
        <f ca="1"/>
        <v>322.113</v>
      </c>
      <c r="P123" s="105">
        <f t="shared" ca="1" si="9"/>
        <v>2.0003096935016007E-2</v>
      </c>
      <c r="R123" s="104" vm="921">
        <f ca="1"/>
        <v>45202</v>
      </c>
      <c r="S123" s="104" vm="925">
        <f ca="1"/>
        <v>565.35</v>
      </c>
      <c r="T123" s="105">
        <f t="shared" ca="1" si="10"/>
        <v>-6.1527643491254835E-3</v>
      </c>
      <c r="V123" s="104" vm="921">
        <f ca="1"/>
        <v>45202</v>
      </c>
      <c r="W123" s="104" vm="926">
        <f ca="1"/>
        <v>2400.5140000000001</v>
      </c>
      <c r="X123" s="105">
        <f t="shared" ca="1" si="11"/>
        <v>-2.9897154039981721E-4</v>
      </c>
      <c r="Z123" s="104" vm="921">
        <f ca="1"/>
        <v>45202</v>
      </c>
      <c r="AA123" s="104" vm="927">
        <f ca="1"/>
        <v>1506.45</v>
      </c>
      <c r="AB123" s="105">
        <f t="shared" ca="1" si="12"/>
        <v>1.3898236640193851E-2</v>
      </c>
      <c r="AD123" s="104" vm="921">
        <f ca="1"/>
        <v>45202</v>
      </c>
      <c r="AE123" s="104" vm="928">
        <f ca="1"/>
        <v>387.3</v>
      </c>
      <c r="AF123" s="105">
        <f t="shared" ca="1" si="13"/>
        <v>-3.4735623311461516E-3</v>
      </c>
    </row>
    <row r="124" spans="2:32" x14ac:dyDescent="0.3">
      <c r="B124" s="104" vm="929">
        <f ca="1"/>
        <v>45208</v>
      </c>
      <c r="C124" s="104" vm="930">
        <f ca="1"/>
        <v>3148.8</v>
      </c>
      <c r="D124" s="105">
        <f t="shared" ca="1" si="7"/>
        <v>-1.4691386998357148E-2</v>
      </c>
      <c r="F124" s="104" vm="929">
        <f ca="1"/>
        <v>45208</v>
      </c>
      <c r="G124" s="104" vm="931">
        <f ca="1"/>
        <v>19751.05</v>
      </c>
      <c r="H124" s="105">
        <f t="shared" ca="1" si="8"/>
        <v>4.9634925076957881E-3</v>
      </c>
      <c r="N124" s="104" vm="929">
        <f ca="1"/>
        <v>45208</v>
      </c>
      <c r="O124" s="104" vm="932">
        <f ca="1"/>
        <v>321.21769999999998</v>
      </c>
      <c r="P124" s="105">
        <f t="shared" ca="1" si="9"/>
        <v>-2.7794593822665359E-3</v>
      </c>
      <c r="R124" s="104" vm="929">
        <f ca="1"/>
        <v>45208</v>
      </c>
      <c r="S124" s="104" vm="933">
        <f ca="1"/>
        <v>568.25</v>
      </c>
      <c r="T124" s="105">
        <f t="shared" ca="1" si="10"/>
        <v>5.1295657557264285E-3</v>
      </c>
      <c r="V124" s="104" vm="929">
        <f ca="1"/>
        <v>45208</v>
      </c>
      <c r="W124" s="104" vm="934">
        <f ca="1"/>
        <v>2375.6747</v>
      </c>
      <c r="X124" s="105">
        <f t="shared" ca="1" si="11"/>
        <v>-1.0347492245410761E-2</v>
      </c>
      <c r="Z124" s="104" vm="929">
        <f ca="1"/>
        <v>45208</v>
      </c>
      <c r="AA124" s="104" vm="935">
        <f ca="1"/>
        <v>1455.4</v>
      </c>
      <c r="AB124" s="105">
        <f t="shared" ca="1" si="12"/>
        <v>-3.3887616582030544E-2</v>
      </c>
      <c r="AD124" s="104" vm="929">
        <f ca="1"/>
        <v>45208</v>
      </c>
      <c r="AE124" s="104" vm="936">
        <f ca="1"/>
        <v>386.65</v>
      </c>
      <c r="AF124" s="105">
        <f t="shared" ca="1" si="13"/>
        <v>-1.6782855667442087E-3</v>
      </c>
    </row>
    <row r="125" spans="2:32" x14ac:dyDescent="0.3">
      <c r="B125" s="104" vm="937">
        <f ca="1"/>
        <v>45215</v>
      </c>
      <c r="C125" s="104" vm="938">
        <f ca="1"/>
        <v>3105.85</v>
      </c>
      <c r="D125" s="105">
        <f t="shared" ca="1" si="7"/>
        <v>-1.3640116869918839E-2</v>
      </c>
      <c r="F125" s="104" vm="937">
        <f ca="1"/>
        <v>45215</v>
      </c>
      <c r="G125" s="104" vm="939">
        <f ca="1"/>
        <v>19542.650000000001</v>
      </c>
      <c r="H125" s="105">
        <f t="shared" ca="1" si="8"/>
        <v>-1.0551337776978809E-2</v>
      </c>
      <c r="N125" s="104" vm="937">
        <f ca="1"/>
        <v>45215</v>
      </c>
      <c r="O125" s="104" vm="940">
        <f ca="1"/>
        <v>319.5763</v>
      </c>
      <c r="P125" s="105">
        <f t="shared" ca="1" si="9"/>
        <v>-5.1099301190438151E-3</v>
      </c>
      <c r="R125" s="104" vm="937">
        <f ca="1"/>
        <v>45215</v>
      </c>
      <c r="S125" s="104" vm="941">
        <f ca="1"/>
        <v>584.25</v>
      </c>
      <c r="T125" s="105">
        <f t="shared" ca="1" si="10"/>
        <v>2.8156621205455368E-2</v>
      </c>
      <c r="V125" s="104" vm="937">
        <f ca="1"/>
        <v>45215</v>
      </c>
      <c r="W125" s="104" vm="942">
        <f ca="1"/>
        <v>2337.3388</v>
      </c>
      <c r="X125" s="105">
        <f t="shared" ca="1" si="11"/>
        <v>-1.6136847355405992E-2</v>
      </c>
      <c r="Z125" s="104" vm="937">
        <f ca="1"/>
        <v>45215</v>
      </c>
      <c r="AA125" s="104" vm="943">
        <f ca="1"/>
        <v>1458.6</v>
      </c>
      <c r="AB125" s="105">
        <f t="shared" ca="1" si="12"/>
        <v>2.1987082588976747E-3</v>
      </c>
      <c r="AD125" s="104" vm="937">
        <f ca="1"/>
        <v>45215</v>
      </c>
      <c r="AE125" s="104" vm="944">
        <f ca="1"/>
        <v>371.15</v>
      </c>
      <c r="AF125" s="105">
        <f t="shared" ca="1" si="13"/>
        <v>-4.0087934824776905E-2</v>
      </c>
    </row>
    <row r="126" spans="2:32" x14ac:dyDescent="0.3">
      <c r="B126" s="104" vm="945">
        <f ca="1"/>
        <v>45222</v>
      </c>
      <c r="C126" s="104" vm="946">
        <f ca="1"/>
        <v>2955.15</v>
      </c>
      <c r="D126" s="105">
        <f t="shared" ca="1" si="7"/>
        <v>-4.8521338763945376E-2</v>
      </c>
      <c r="F126" s="104" vm="945">
        <f ca="1"/>
        <v>45222</v>
      </c>
      <c r="G126" s="104" vm="947">
        <f ca="1"/>
        <v>19047.25</v>
      </c>
      <c r="H126" s="105">
        <f t="shared" ca="1" si="8"/>
        <v>-2.5349683896503383E-2</v>
      </c>
      <c r="N126" s="104" vm="945">
        <f ca="1"/>
        <v>45222</v>
      </c>
      <c r="O126" s="104" vm="948">
        <f ca="1"/>
        <v>311.91640000000001</v>
      </c>
      <c r="P126" s="105">
        <f t="shared" ca="1" si="9"/>
        <v>-2.3968923853239454E-2</v>
      </c>
      <c r="R126" s="104" vm="945">
        <f ca="1"/>
        <v>45222</v>
      </c>
      <c r="S126" s="104" vm="949">
        <f ca="1"/>
        <v>537.54999999999995</v>
      </c>
      <c r="T126" s="105">
        <f t="shared" ca="1" si="10"/>
        <v>-7.9931536157466954E-2</v>
      </c>
      <c r="V126" s="104" vm="945">
        <f ca="1"/>
        <v>45222</v>
      </c>
      <c r="W126" s="104" vm="950">
        <f ca="1"/>
        <v>2317.7161999999998</v>
      </c>
      <c r="X126" s="105">
        <f t="shared" ca="1" si="11"/>
        <v>-8.3952741468203973E-3</v>
      </c>
      <c r="Z126" s="104" vm="945">
        <f ca="1"/>
        <v>45222</v>
      </c>
      <c r="AA126" s="104" vm="951">
        <f ca="1"/>
        <v>1411.8</v>
      </c>
      <c r="AB126" s="105">
        <f t="shared" ca="1" si="12"/>
        <v>-3.208556149732622E-2</v>
      </c>
      <c r="AD126" s="104" vm="945">
        <f ca="1"/>
        <v>45222</v>
      </c>
      <c r="AE126" s="104" vm="952">
        <f ca="1"/>
        <v>368.3</v>
      </c>
      <c r="AF126" s="105">
        <f t="shared" ca="1" si="13"/>
        <v>-7.6788360501144348E-3</v>
      </c>
    </row>
    <row r="127" spans="2:32" x14ac:dyDescent="0.3">
      <c r="B127" s="104" vm="953">
        <f ca="1"/>
        <v>45229</v>
      </c>
      <c r="C127" s="104" vm="954">
        <f ca="1"/>
        <v>2977.85</v>
      </c>
      <c r="D127" s="105">
        <f t="shared" ca="1" si="7"/>
        <v>7.681505168942282E-3</v>
      </c>
      <c r="F127" s="104" vm="953">
        <f ca="1"/>
        <v>45229</v>
      </c>
      <c r="G127" s="104" vm="955">
        <f ca="1"/>
        <v>19230.599999999999</v>
      </c>
      <c r="H127" s="105">
        <f t="shared" ca="1" si="8"/>
        <v>9.6260615049414966E-3</v>
      </c>
      <c r="N127" s="104" vm="953">
        <f ca="1"/>
        <v>45229</v>
      </c>
      <c r="O127" s="104" vm="956">
        <f ca="1"/>
        <v>303.41090000000003</v>
      </c>
      <c r="P127" s="105">
        <f t="shared" ca="1" si="9"/>
        <v>-2.7268524514902026E-2</v>
      </c>
      <c r="R127" s="104" vm="953">
        <f ca="1"/>
        <v>45229</v>
      </c>
      <c r="S127" s="104" vm="957">
        <f ca="1"/>
        <v>553.15</v>
      </c>
      <c r="T127" s="105">
        <f t="shared" ca="1" si="10"/>
        <v>2.9020556227327798E-2</v>
      </c>
      <c r="V127" s="104" vm="953">
        <f ca="1"/>
        <v>45229</v>
      </c>
      <c r="W127" s="104" vm="958">
        <f ca="1"/>
        <v>2338.0088999999998</v>
      </c>
      <c r="X127" s="105">
        <f t="shared" ca="1" si="11"/>
        <v>8.7554723050216055E-3</v>
      </c>
      <c r="Z127" s="104" vm="953">
        <f ca="1"/>
        <v>45229</v>
      </c>
      <c r="AA127" s="104" vm="959">
        <f ca="1"/>
        <v>1464.1</v>
      </c>
      <c r="AB127" s="105">
        <f t="shared" ca="1" si="12"/>
        <v>3.7044907210653122E-2</v>
      </c>
      <c r="AD127" s="104" vm="953">
        <f ca="1"/>
        <v>45229</v>
      </c>
      <c r="AE127" s="104" vm="960">
        <f ca="1"/>
        <v>369</v>
      </c>
      <c r="AF127" s="105">
        <f t="shared" ca="1" si="13"/>
        <v>1.9006244909041126E-3</v>
      </c>
    </row>
    <row r="128" spans="2:32" x14ac:dyDescent="0.3">
      <c r="B128" s="104" vm="961">
        <f ca="1"/>
        <v>45236</v>
      </c>
      <c r="C128" s="104" vm="962">
        <f ca="1"/>
        <v>3076.45</v>
      </c>
      <c r="D128" s="105">
        <f t="shared" ca="1" si="7"/>
        <v>3.3111137229880683E-2</v>
      </c>
      <c r="F128" s="104" vm="961">
        <f ca="1"/>
        <v>45236</v>
      </c>
      <c r="G128" s="104" vm="963">
        <f ca="1"/>
        <v>19425.349999999999</v>
      </c>
      <c r="H128" s="105">
        <f t="shared" ca="1" si="8"/>
        <v>1.0127089118384225E-2</v>
      </c>
      <c r="N128" s="104" vm="961">
        <f ca="1"/>
        <v>45236</v>
      </c>
      <c r="O128" s="104" vm="964">
        <f ca="1"/>
        <v>302.8141</v>
      </c>
      <c r="P128" s="105">
        <f t="shared" ca="1" si="9"/>
        <v>-1.966969545260322E-3</v>
      </c>
      <c r="R128" s="104" vm="961">
        <f ca="1"/>
        <v>45236</v>
      </c>
      <c r="S128" s="104" vm="965">
        <f ca="1"/>
        <v>578.4</v>
      </c>
      <c r="T128" s="105">
        <f t="shared" ca="1" si="10"/>
        <v>4.5647654343306421E-2</v>
      </c>
      <c r="V128" s="104" vm="961">
        <f ca="1"/>
        <v>45236</v>
      </c>
      <c r="W128" s="104" vm="966">
        <f ca="1"/>
        <v>2347.7244000000001</v>
      </c>
      <c r="X128" s="105">
        <f t="shared" ca="1" si="11"/>
        <v>4.1554589462855507E-3</v>
      </c>
      <c r="Z128" s="104" vm="961">
        <f ca="1"/>
        <v>45236</v>
      </c>
      <c r="AA128" s="104" vm="967">
        <f ca="1"/>
        <v>1502.95</v>
      </c>
      <c r="AB128" s="105">
        <f t="shared" ca="1" si="12"/>
        <v>2.653507274093303E-2</v>
      </c>
      <c r="AD128" s="104" vm="961">
        <f ca="1"/>
        <v>45236</v>
      </c>
      <c r="AE128" s="104" vm="968">
        <f ca="1"/>
        <v>375.55</v>
      </c>
      <c r="AF128" s="105">
        <f t="shared" ca="1" si="13"/>
        <v>1.7750677506775059E-2</v>
      </c>
    </row>
    <row r="129" spans="2:32" x14ac:dyDescent="0.3">
      <c r="B129" s="104" vm="969">
        <f ca="1"/>
        <v>45242</v>
      </c>
      <c r="C129" s="104" vm="970">
        <f ca="1"/>
        <v>3168.9</v>
      </c>
      <c r="D129" s="105">
        <f t="shared" ca="1" si="7"/>
        <v>3.005087032131204E-2</v>
      </c>
      <c r="F129" s="104" vm="969">
        <f ca="1"/>
        <v>45242</v>
      </c>
      <c r="G129" s="104" vm="971">
        <f ca="1"/>
        <v>19731.8</v>
      </c>
      <c r="H129" s="105">
        <f t="shared" ca="1" si="8"/>
        <v>1.5775777527818002E-2</v>
      </c>
      <c r="N129" s="104" vm="969">
        <f ca="1"/>
        <v>45242</v>
      </c>
      <c r="O129" s="104" vm="972">
        <f ca="1"/>
        <v>323.7047</v>
      </c>
      <c r="P129" s="105">
        <f t="shared" ca="1" si="9"/>
        <v>6.898820101177594E-2</v>
      </c>
      <c r="R129" s="104" vm="969">
        <f ca="1"/>
        <v>45242</v>
      </c>
      <c r="S129" s="104" vm="973">
        <f ca="1"/>
        <v>587.79999999999995</v>
      </c>
      <c r="T129" s="105">
        <f t="shared" ca="1" si="10"/>
        <v>1.6251728907330509E-2</v>
      </c>
      <c r="V129" s="104" vm="969">
        <f ca="1"/>
        <v>45242</v>
      </c>
      <c r="W129" s="104" vm="974">
        <f ca="1"/>
        <v>2374.9088999999999</v>
      </c>
      <c r="X129" s="105">
        <f t="shared" ca="1" si="11"/>
        <v>1.1579084836363274E-2</v>
      </c>
      <c r="Z129" s="104" vm="969">
        <f ca="1"/>
        <v>45242</v>
      </c>
      <c r="AA129" s="104" vm="975">
        <f ca="1"/>
        <v>1539.65</v>
      </c>
      <c r="AB129" s="105">
        <f t="shared" ca="1" si="12"/>
        <v>2.4418643334775059E-2</v>
      </c>
      <c r="AD129" s="104" vm="969">
        <f ca="1"/>
        <v>45242</v>
      </c>
      <c r="AE129" s="104" vm="976">
        <f ca="1"/>
        <v>380.8</v>
      </c>
      <c r="AF129" s="105">
        <f t="shared" ca="1" si="13"/>
        <v>1.3979496738117492E-2</v>
      </c>
    </row>
    <row r="130" spans="2:32" x14ac:dyDescent="0.3">
      <c r="B130" s="104" vm="977">
        <f ca="1"/>
        <v>45250</v>
      </c>
      <c r="C130" s="104" vm="978">
        <f ca="1"/>
        <v>3136.15</v>
      </c>
      <c r="D130" s="105">
        <f t="shared" ca="1" si="7"/>
        <v>-1.0334816497838406E-2</v>
      </c>
      <c r="F130" s="104" vm="977">
        <f ca="1"/>
        <v>45250</v>
      </c>
      <c r="G130" s="104" vm="979">
        <f ca="1"/>
        <v>19794.7</v>
      </c>
      <c r="H130" s="105">
        <f t="shared" ca="1" si="8"/>
        <v>3.1877476966115648E-3</v>
      </c>
      <c r="N130" s="104" vm="977">
        <f ca="1"/>
        <v>45250</v>
      </c>
      <c r="O130" s="104" vm="980">
        <f ca="1"/>
        <v>318.68099999999998</v>
      </c>
      <c r="P130" s="105">
        <f t="shared" ca="1" si="9"/>
        <v>-1.5519391593634579E-2</v>
      </c>
      <c r="R130" s="104" vm="977">
        <f ca="1"/>
        <v>45250</v>
      </c>
      <c r="S130" s="104" vm="981">
        <f ca="1"/>
        <v>573.54999999999995</v>
      </c>
      <c r="T130" s="105">
        <f t="shared" ca="1" si="10"/>
        <v>-2.4242939775433792E-2</v>
      </c>
      <c r="V130" s="104" vm="977">
        <f ca="1"/>
        <v>45250</v>
      </c>
      <c r="W130" s="104" vm="982">
        <f ca="1"/>
        <v>2370.5536999999999</v>
      </c>
      <c r="X130" s="105">
        <f t="shared" ca="1" si="11"/>
        <v>-1.8338387632468311E-3</v>
      </c>
      <c r="Z130" s="104" vm="977">
        <f ca="1"/>
        <v>45250</v>
      </c>
      <c r="AA130" s="104" vm="983">
        <f ca="1"/>
        <v>1482.5</v>
      </c>
      <c r="AB130" s="105">
        <f t="shared" ca="1" si="12"/>
        <v>-3.7118825707141312E-2</v>
      </c>
      <c r="AD130" s="104" vm="977">
        <f ca="1"/>
        <v>45250</v>
      </c>
      <c r="AE130" s="104" vm="596">
        <f ca="1"/>
        <v>370.1</v>
      </c>
      <c r="AF130" s="105">
        <f t="shared" ca="1" si="13"/>
        <v>-2.8098739495798331E-2</v>
      </c>
    </row>
    <row r="131" spans="2:32" x14ac:dyDescent="0.3">
      <c r="B131" s="104" vm="984">
        <f ca="1"/>
        <v>45258</v>
      </c>
      <c r="C131" s="104" vm="985">
        <f ca="1"/>
        <v>3173.4</v>
      </c>
      <c r="D131" s="105">
        <f t="shared" ca="1" si="7"/>
        <v>1.187762064952258E-2</v>
      </c>
      <c r="F131" s="104" vm="984">
        <f ca="1"/>
        <v>45258</v>
      </c>
      <c r="G131" s="104" vm="986">
        <f ca="1"/>
        <v>20267.900000000001</v>
      </c>
      <c r="H131" s="105">
        <f t="shared" ca="1" si="8"/>
        <v>2.3905388816198414E-2</v>
      </c>
      <c r="N131" s="104" vm="984">
        <f ca="1"/>
        <v>45258</v>
      </c>
      <c r="O131" s="104" vm="987">
        <f ca="1"/>
        <v>318.38249999999999</v>
      </c>
      <c r="P131" s="105">
        <f t="shared" ca="1" si="9"/>
        <v>-9.3667335046643263E-4</v>
      </c>
      <c r="R131" s="104" vm="984">
        <f ca="1"/>
        <v>45258</v>
      </c>
      <c r="S131" s="104" vm="988">
        <f ca="1"/>
        <v>586.15</v>
      </c>
      <c r="T131" s="105">
        <f t="shared" ca="1" si="10"/>
        <v>2.1968442158486701E-2</v>
      </c>
      <c r="V131" s="104" vm="984">
        <f ca="1"/>
        <v>45258</v>
      </c>
      <c r="W131" s="104" vm="989">
        <f ca="1"/>
        <v>2375.3397</v>
      </c>
      <c r="X131" s="105">
        <f t="shared" ca="1" si="11"/>
        <v>2.0189376009496218E-3</v>
      </c>
      <c r="Z131" s="104" vm="984">
        <f ca="1"/>
        <v>45258</v>
      </c>
      <c r="AA131" s="104" vm="990">
        <f ca="1"/>
        <v>1497.75</v>
      </c>
      <c r="AB131" s="105">
        <f t="shared" ca="1" si="12"/>
        <v>1.0286677908937669E-2</v>
      </c>
      <c r="AD131" s="104" vm="984">
        <f ca="1"/>
        <v>45258</v>
      </c>
      <c r="AE131" s="104" vm="991">
        <f ca="1"/>
        <v>382.65</v>
      </c>
      <c r="AF131" s="105">
        <f t="shared" ca="1" si="13"/>
        <v>3.3909754120507785E-2</v>
      </c>
    </row>
    <row r="132" spans="2:32" x14ac:dyDescent="0.3">
      <c r="B132" s="104" vm="992">
        <f ca="1"/>
        <v>45264</v>
      </c>
      <c r="C132" s="104" vm="993">
        <f ca="1"/>
        <v>3232</v>
      </c>
      <c r="D132" s="105">
        <f t="shared" ca="1" si="7"/>
        <v>1.8465998613474532E-2</v>
      </c>
      <c r="F132" s="104" vm="992">
        <f ca="1"/>
        <v>45264</v>
      </c>
      <c r="G132" s="104" vm="994">
        <f ca="1"/>
        <v>20969.400000000001</v>
      </c>
      <c r="H132" s="105">
        <f t="shared" ca="1" si="8"/>
        <v>3.4611380557433069E-2</v>
      </c>
      <c r="N132" s="104" vm="992">
        <f ca="1"/>
        <v>45264</v>
      </c>
      <c r="O132" s="104" vm="995">
        <f ca="1"/>
        <v>328.62889999999999</v>
      </c>
      <c r="P132" s="105">
        <f t="shared" ca="1" si="9"/>
        <v>3.2182673356732749E-2</v>
      </c>
      <c r="R132" s="104" vm="992">
        <f ca="1"/>
        <v>45264</v>
      </c>
      <c r="S132" s="104" vm="996">
        <f ca="1"/>
        <v>578.95000000000005</v>
      </c>
      <c r="T132" s="105">
        <f t="shared" ca="1" si="10"/>
        <v>-1.2283545167619092E-2</v>
      </c>
      <c r="V132" s="104" vm="992">
        <f ca="1"/>
        <v>45264</v>
      </c>
      <c r="W132" s="104" vm="997">
        <f ca="1"/>
        <v>2452.0113999999999</v>
      </c>
      <c r="X132" s="105">
        <f t="shared" ca="1" si="11"/>
        <v>3.2278204250111964E-2</v>
      </c>
      <c r="Z132" s="104" vm="992">
        <f ca="1"/>
        <v>45264</v>
      </c>
      <c r="AA132" s="104" vm="998">
        <f ca="1"/>
        <v>1489</v>
      </c>
      <c r="AB132" s="105">
        <f t="shared" ca="1" si="12"/>
        <v>-5.8420964780504514E-3</v>
      </c>
      <c r="AD132" s="104" vm="992">
        <f ca="1"/>
        <v>45264</v>
      </c>
      <c r="AE132" s="104" vm="999">
        <f ca="1"/>
        <v>392.2</v>
      </c>
      <c r="AF132" s="105">
        <f t="shared" ca="1" si="13"/>
        <v>2.4957532993597376E-2</v>
      </c>
    </row>
    <row r="133" spans="2:32" x14ac:dyDescent="0.3">
      <c r="B133" s="104" vm="1000">
        <f ca="1"/>
        <v>45271</v>
      </c>
      <c r="C133" s="104" vm="1001">
        <f ca="1"/>
        <v>3313.9</v>
      </c>
      <c r="D133" s="105">
        <f t="shared" ca="1" si="7"/>
        <v>2.5340346534653557E-2</v>
      </c>
      <c r="F133" s="104" vm="1000">
        <f ca="1"/>
        <v>45271</v>
      </c>
      <c r="G133" s="104" vm="1002">
        <f ca="1"/>
        <v>21456.65</v>
      </c>
      <c r="H133" s="105">
        <f t="shared" ca="1" si="8"/>
        <v>2.3236239472755438E-2</v>
      </c>
      <c r="N133" s="104" vm="1000">
        <f ca="1"/>
        <v>45271</v>
      </c>
      <c r="O133" s="104" vm="1003">
        <f ca="1"/>
        <v>331.16559999999998</v>
      </c>
      <c r="P133" s="105">
        <f t="shared" ca="1" si="9"/>
        <v>7.7190411433687434E-3</v>
      </c>
      <c r="R133" s="104" vm="1000">
        <f ca="1"/>
        <v>45271</v>
      </c>
      <c r="S133" s="104" vm="1004">
        <f ca="1"/>
        <v>585.79999999999995</v>
      </c>
      <c r="T133" s="105">
        <f t="shared" ca="1" si="10"/>
        <v>1.183176440107081E-2</v>
      </c>
      <c r="V133" s="104" vm="1000">
        <f ca="1"/>
        <v>45271</v>
      </c>
      <c r="W133" s="104" vm="1005">
        <f ca="1"/>
        <v>2444.9281000000001</v>
      </c>
      <c r="X133" s="105">
        <f t="shared" ca="1" si="11"/>
        <v>-2.8887712349133787E-3</v>
      </c>
      <c r="Z133" s="104" vm="1000">
        <f ca="1"/>
        <v>45271</v>
      </c>
      <c r="AA133" s="104" vm="1006">
        <f ca="1"/>
        <v>1478.9</v>
      </c>
      <c r="AB133" s="105">
        <f t="shared" ca="1" si="12"/>
        <v>-6.7830758898589361E-3</v>
      </c>
      <c r="AD133" s="104" vm="1000">
        <f ca="1"/>
        <v>45271</v>
      </c>
      <c r="AE133" s="104" vm="1007">
        <f ca="1"/>
        <v>390.4</v>
      </c>
      <c r="AF133" s="105">
        <f t="shared" ca="1" si="13"/>
        <v>-4.5894951555329744E-3</v>
      </c>
    </row>
    <row r="134" spans="2:32" x14ac:dyDescent="0.3">
      <c r="B134" s="104" vm="1008">
        <f ca="1"/>
        <v>45278</v>
      </c>
      <c r="C134" s="104" vm="1009">
        <f ca="1"/>
        <v>3341.3</v>
      </c>
      <c r="D134" s="105">
        <f t="shared" ca="1" si="7"/>
        <v>8.2682036271461978E-3</v>
      </c>
      <c r="F134" s="104" vm="1008">
        <f ca="1"/>
        <v>45278</v>
      </c>
      <c r="G134" s="104" vm="1010">
        <f ca="1"/>
        <v>21349.4</v>
      </c>
      <c r="H134" s="105">
        <f t="shared" ca="1" si="8"/>
        <v>-4.9984503638732525E-3</v>
      </c>
      <c r="N134" s="104" vm="1008">
        <f ca="1"/>
        <v>45278</v>
      </c>
      <c r="O134" s="104" vm="908">
        <f ca="1"/>
        <v>320.77</v>
      </c>
      <c r="P134" s="105">
        <f t="shared" ca="1" si="9"/>
        <v>-3.1390941571226016E-2</v>
      </c>
      <c r="R134" s="104" vm="1008">
        <f ca="1"/>
        <v>45278</v>
      </c>
      <c r="S134" s="104" vm="1011">
        <f ca="1"/>
        <v>583.15</v>
      </c>
      <c r="T134" s="105">
        <f t="shared" ca="1" si="10"/>
        <v>-4.5237282348924435E-3</v>
      </c>
      <c r="V134" s="104" vm="1008">
        <f ca="1"/>
        <v>45278</v>
      </c>
      <c r="W134" s="104" vm="1012">
        <f ca="1"/>
        <v>2456.0315999999998</v>
      </c>
      <c r="X134" s="105">
        <f t="shared" ca="1" si="11"/>
        <v>4.5414423434373408E-3</v>
      </c>
      <c r="Z134" s="104" vm="1008">
        <f ca="1"/>
        <v>45278</v>
      </c>
      <c r="AA134" s="104" vm="1013">
        <f ca="1"/>
        <v>1465.6</v>
      </c>
      <c r="AB134" s="105">
        <f t="shared" ca="1" si="12"/>
        <v>-8.9931705997702283E-3</v>
      </c>
      <c r="AD134" s="104" vm="1008">
        <f ca="1"/>
        <v>45278</v>
      </c>
      <c r="AE134" s="104" vm="1014">
        <f ca="1"/>
        <v>399.35</v>
      </c>
      <c r="AF134" s="105">
        <f t="shared" ca="1" si="13"/>
        <v>2.2925204918032849E-2</v>
      </c>
    </row>
    <row r="135" spans="2:32" x14ac:dyDescent="0.3">
      <c r="B135" s="104" vm="1015">
        <f ca="1"/>
        <v>45286</v>
      </c>
      <c r="C135" s="104" vm="1016">
        <f ca="1"/>
        <v>3402.4</v>
      </c>
      <c r="D135" s="105">
        <f t="shared" ca="1" si="7"/>
        <v>1.8286295753149995E-2</v>
      </c>
      <c r="F135" s="104" vm="1015">
        <f ca="1"/>
        <v>45286</v>
      </c>
      <c r="G135" s="104" vm="1017">
        <f ca="1"/>
        <v>21731.4</v>
      </c>
      <c r="H135" s="105">
        <f t="shared" ca="1" si="8"/>
        <v>1.7892774504201459E-2</v>
      </c>
      <c r="N135" s="104" vm="1015">
        <f ca="1"/>
        <v>45286</v>
      </c>
      <c r="O135" s="104" vm="1018">
        <f ca="1"/>
        <v>331.5138</v>
      </c>
      <c r="P135" s="105">
        <f t="shared" ca="1" si="9"/>
        <v>3.349378059045427E-2</v>
      </c>
      <c r="R135" s="104" vm="1015">
        <f ca="1"/>
        <v>45286</v>
      </c>
      <c r="S135" s="104" vm="1019">
        <f ca="1"/>
        <v>604.65</v>
      </c>
      <c r="T135" s="105">
        <f t="shared" ca="1" si="10"/>
        <v>3.6868730172339825E-2</v>
      </c>
      <c r="V135" s="104" vm="1015">
        <f ca="1"/>
        <v>45286</v>
      </c>
      <c r="W135" s="104" vm="1020">
        <f ca="1"/>
        <v>2495.8510999999999</v>
      </c>
      <c r="X135" s="105">
        <f t="shared" ca="1" si="11"/>
        <v>1.6212942862787294E-2</v>
      </c>
      <c r="Z135" s="104" vm="1015">
        <f ca="1"/>
        <v>45286</v>
      </c>
      <c r="AA135" s="104" vm="1021">
        <f ca="1"/>
        <v>1490.5</v>
      </c>
      <c r="AB135" s="105">
        <f t="shared" ca="1" si="12"/>
        <v>1.6989628820960778E-2</v>
      </c>
      <c r="AD135" s="104" vm="1015">
        <f ca="1"/>
        <v>45286</v>
      </c>
      <c r="AE135" s="104" vm="1022">
        <f ca="1"/>
        <v>409.85</v>
      </c>
      <c r="AF135" s="105">
        <f t="shared" ca="1" si="13"/>
        <v>2.629272567922869E-2</v>
      </c>
    </row>
    <row r="136" spans="2:32" x14ac:dyDescent="0.3">
      <c r="B136" s="104" vm="1023">
        <f ca="1"/>
        <v>45292</v>
      </c>
      <c r="C136" s="104" vm="1024">
        <f ca="1"/>
        <v>3355.55</v>
      </c>
      <c r="D136" s="105">
        <f t="shared" ca="1" si="7"/>
        <v>-1.3769691982130183E-2</v>
      </c>
      <c r="F136" s="104" vm="1023">
        <f ca="1"/>
        <v>45292</v>
      </c>
      <c r="G136" s="104" vm="1025">
        <f ca="1"/>
        <v>21710.799999999999</v>
      </c>
      <c r="H136" s="105">
        <f t="shared" ca="1" si="8"/>
        <v>-9.479370864280412E-4</v>
      </c>
      <c r="N136" s="104" vm="1023">
        <f ca="1"/>
        <v>45292</v>
      </c>
      <c r="O136" s="104" vm="1026">
        <f ca="1"/>
        <v>334.94580000000002</v>
      </c>
      <c r="P136" s="105">
        <f t="shared" ca="1" si="9"/>
        <v>1.0352510212244592E-2</v>
      </c>
      <c r="R136" s="104" vm="1023">
        <f ca="1"/>
        <v>45292</v>
      </c>
      <c r="S136" s="104" vm="1027">
        <f ca="1"/>
        <v>596.35</v>
      </c>
      <c r="T136" s="105">
        <f t="shared" ca="1" si="10"/>
        <v>-1.3726949474902717E-2</v>
      </c>
      <c r="V136" s="104" vm="1023">
        <f ca="1"/>
        <v>45292</v>
      </c>
      <c r="W136" s="104" vm="1028">
        <f ca="1"/>
        <v>2545.1948000000002</v>
      </c>
      <c r="X136" s="105">
        <f t="shared" ca="1" si="11"/>
        <v>1.9770289982443456E-2</v>
      </c>
      <c r="Z136" s="104" vm="1023">
        <f ca="1"/>
        <v>45292</v>
      </c>
      <c r="AA136" s="104" vm="1029">
        <f ca="1"/>
        <v>1498.75</v>
      </c>
      <c r="AB136" s="105">
        <f t="shared" ca="1" si="12"/>
        <v>5.5350553505535416E-3</v>
      </c>
      <c r="AD136" s="104" vm="1023">
        <f ca="1"/>
        <v>45292</v>
      </c>
      <c r="AE136" s="104" vm="1030">
        <f ca="1"/>
        <v>427.8</v>
      </c>
      <c r="AF136" s="105">
        <f t="shared" ca="1" si="13"/>
        <v>4.3796510918628684E-2</v>
      </c>
    </row>
    <row r="137" spans="2:32" x14ac:dyDescent="0.3">
      <c r="B137" s="104" vm="1031">
        <f ca="1"/>
        <v>45299</v>
      </c>
      <c r="C137" s="104" vm="1032">
        <f ca="1"/>
        <v>3277.8</v>
      </c>
      <c r="D137" s="105">
        <f t="shared" ca="1" si="7"/>
        <v>-2.3170568163192296E-2</v>
      </c>
      <c r="F137" s="104" vm="1031">
        <f ca="1"/>
        <v>45299</v>
      </c>
      <c r="G137" s="104" vm="1033">
        <f ca="1"/>
        <v>21894.55</v>
      </c>
      <c r="H137" s="105">
        <f t="shared" ca="1" si="8"/>
        <v>8.4635296718684749E-3</v>
      </c>
      <c r="N137" s="104" vm="1031">
        <f ca="1"/>
        <v>45299</v>
      </c>
      <c r="O137" s="104" vm="1034">
        <f ca="1"/>
        <v>338.52699999999999</v>
      </c>
      <c r="P137" s="105">
        <f t="shared" ca="1" si="9"/>
        <v>1.0691879104022028E-2</v>
      </c>
      <c r="R137" s="104" vm="1031">
        <f ca="1"/>
        <v>45299</v>
      </c>
      <c r="S137" s="104" vm="1035">
        <f ca="1"/>
        <v>595.79999999999995</v>
      </c>
      <c r="T137" s="105">
        <f t="shared" ca="1" si="10"/>
        <v>-9.2227718621629151E-4</v>
      </c>
      <c r="V137" s="104" vm="1031">
        <f ca="1"/>
        <v>45299</v>
      </c>
      <c r="W137" s="104" vm="1036">
        <f ca="1"/>
        <v>2547.5877999999998</v>
      </c>
      <c r="X137" s="105">
        <f t="shared" ca="1" si="11"/>
        <v>9.4020308386588702E-4</v>
      </c>
      <c r="Z137" s="104" vm="1031">
        <f ca="1"/>
        <v>45299</v>
      </c>
      <c r="AA137" s="104" vm="1037">
        <f ca="1"/>
        <v>1484.55</v>
      </c>
      <c r="AB137" s="105">
        <f t="shared" ca="1" si="12"/>
        <v>-9.474562135112663E-3</v>
      </c>
      <c r="AD137" s="104" vm="1031">
        <f ca="1"/>
        <v>45299</v>
      </c>
      <c r="AE137" s="104" vm="1038">
        <f ca="1"/>
        <v>424.9</v>
      </c>
      <c r="AF137" s="105">
        <f t="shared" ca="1" si="13"/>
        <v>-6.7788686302011625E-3</v>
      </c>
    </row>
    <row r="138" spans="2:32" x14ac:dyDescent="0.3">
      <c r="B138" s="104" vm="1039">
        <f ca="1"/>
        <v>45306</v>
      </c>
      <c r="C138" s="104" vm="1040">
        <f ca="1"/>
        <v>3138.8</v>
      </c>
      <c r="D138" s="105">
        <f t="shared" ref="D138:D201" ca="1" si="14">C138/C137-1</f>
        <v>-4.2406492159375198E-2</v>
      </c>
      <c r="F138" s="104" vm="1039">
        <f ca="1"/>
        <v>45306</v>
      </c>
      <c r="G138" s="104" vm="1041">
        <f ca="1"/>
        <v>21571.8</v>
      </c>
      <c r="H138" s="105">
        <f t="shared" ref="H138:H201" ca="1" si="15">G138/G137-1</f>
        <v>-1.474111137246481E-2</v>
      </c>
      <c r="N138" s="104" vm="1039">
        <f ca="1"/>
        <v>45306</v>
      </c>
      <c r="O138" s="104" vm="1042">
        <f ca="1"/>
        <v>339.77050000000003</v>
      </c>
      <c r="P138" s="105">
        <f t="shared" ref="P138:P201" ca="1" si="16">O138/O137-1</f>
        <v>3.6732668295291759E-3</v>
      </c>
      <c r="R138" s="104" vm="1039">
        <f ca="1"/>
        <v>45306</v>
      </c>
      <c r="S138" s="104" vm="1043">
        <f ca="1"/>
        <v>575.4</v>
      </c>
      <c r="T138" s="105">
        <f t="shared" ref="T138:T201" ca="1" si="17">S138/S137-1</f>
        <v>-3.423967774420944E-2</v>
      </c>
      <c r="V138" s="104" vm="1039">
        <f ca="1"/>
        <v>45306</v>
      </c>
      <c r="W138" s="104" vm="1044">
        <f ca="1"/>
        <v>2565.8703</v>
      </c>
      <c r="X138" s="105">
        <f t="shared" ref="X138:X201" ca="1" si="18">W138/W137-1</f>
        <v>7.1763964327353769E-3</v>
      </c>
      <c r="Z138" s="104" vm="1039">
        <f ca="1"/>
        <v>45306</v>
      </c>
      <c r="AA138" s="104" vm="1045">
        <f ca="1"/>
        <v>1460.5</v>
      </c>
      <c r="AB138" s="105">
        <f t="shared" ref="AB138:AB201" ca="1" si="19">AA138/AA137-1</f>
        <v>-1.6200195345390855E-2</v>
      </c>
      <c r="AD138" s="104" vm="1039">
        <f ca="1"/>
        <v>45306</v>
      </c>
      <c r="AE138" s="104" vm="1046">
        <f ca="1"/>
        <v>406.45</v>
      </c>
      <c r="AF138" s="105">
        <f t="shared" ref="AF138:AF201" ca="1" si="20">AE138/AE137-1</f>
        <v>-4.3421981642739471E-2</v>
      </c>
    </row>
    <row r="139" spans="2:32" x14ac:dyDescent="0.3">
      <c r="B139" s="104" vm="1047">
        <f ca="1"/>
        <v>45314</v>
      </c>
      <c r="C139" s="104" vm="1048">
        <f ca="1"/>
        <v>2949.2</v>
      </c>
      <c r="D139" s="105">
        <f t="shared" ca="1" si="14"/>
        <v>-6.0405250414171108E-2</v>
      </c>
      <c r="F139" s="104" vm="1047">
        <f ca="1"/>
        <v>45314</v>
      </c>
      <c r="G139" s="104" vm="1049">
        <f ca="1"/>
        <v>21352.6</v>
      </c>
      <c r="H139" s="105">
        <f t="shared" ca="1" si="15"/>
        <v>-1.0161414439221583E-2</v>
      </c>
      <c r="N139" s="104" vm="1047">
        <f ca="1"/>
        <v>45314</v>
      </c>
      <c r="O139" s="104" vm="1050">
        <f ca="1"/>
        <v>331.01639999999998</v>
      </c>
      <c r="P139" s="105">
        <f t="shared" ca="1" si="16"/>
        <v>-2.5764744143473517E-2</v>
      </c>
      <c r="R139" s="104" vm="1047">
        <f ca="1"/>
        <v>45314</v>
      </c>
      <c r="S139" s="104" vm="1051">
        <f ca="1"/>
        <v>554.70000000000005</v>
      </c>
      <c r="T139" s="105">
        <f t="shared" ca="1" si="17"/>
        <v>-3.5974973931178211E-2</v>
      </c>
      <c r="V139" s="104" vm="1047">
        <f ca="1"/>
        <v>45314</v>
      </c>
      <c r="W139" s="104" vm="1052">
        <f ca="1"/>
        <v>2483.6947</v>
      </c>
      <c r="X139" s="105">
        <f t="shared" ca="1" si="18"/>
        <v>-3.2026404452321744E-2</v>
      </c>
      <c r="Z139" s="104" vm="1047">
        <f ca="1"/>
        <v>45314</v>
      </c>
      <c r="AA139" s="104" vm="1053">
        <f ca="1"/>
        <v>1450</v>
      </c>
      <c r="AB139" s="105">
        <f t="shared" ca="1" si="19"/>
        <v>-7.1893187264635561E-3</v>
      </c>
      <c r="AD139" s="104" vm="1047">
        <f ca="1"/>
        <v>45314</v>
      </c>
      <c r="AE139" s="104" vm="928">
        <f ca="1"/>
        <v>387.3</v>
      </c>
      <c r="AF139" s="105">
        <f t="shared" ca="1" si="20"/>
        <v>-4.7115266330421846E-2</v>
      </c>
    </row>
    <row r="140" spans="2:32" x14ac:dyDescent="0.3">
      <c r="B140" s="104" vm="1054">
        <f ca="1"/>
        <v>45320</v>
      </c>
      <c r="C140" s="104" vm="1055">
        <f ca="1"/>
        <v>2936.3</v>
      </c>
      <c r="D140" s="105">
        <f t="shared" ca="1" si="14"/>
        <v>-4.3740675437405896E-3</v>
      </c>
      <c r="F140" s="104" vm="1054">
        <f ca="1"/>
        <v>45320</v>
      </c>
      <c r="G140" s="104" vm="1056">
        <f ca="1"/>
        <v>21853.8</v>
      </c>
      <c r="H140" s="105">
        <f t="shared" ca="1" si="15"/>
        <v>2.3472551352060167E-2</v>
      </c>
      <c r="N140" s="104" vm="1054">
        <f ca="1"/>
        <v>45320</v>
      </c>
      <c r="O140" s="104" vm="1057">
        <f ca="1"/>
        <v>338.726</v>
      </c>
      <c r="P140" s="105">
        <f t="shared" ca="1" si="16"/>
        <v>2.3290688920549085E-2</v>
      </c>
      <c r="R140" s="104" vm="1054">
        <f ca="1"/>
        <v>45320</v>
      </c>
      <c r="S140" s="104" vm="1058">
        <f ca="1"/>
        <v>569.54999999999995</v>
      </c>
      <c r="T140" s="105">
        <f t="shared" ca="1" si="17"/>
        <v>2.6771227690643329E-2</v>
      </c>
      <c r="V140" s="104" vm="1054">
        <f ca="1"/>
        <v>45320</v>
      </c>
      <c r="W140" s="104" vm="1059">
        <f ca="1"/>
        <v>2567.6889999999999</v>
      </c>
      <c r="X140" s="105">
        <f t="shared" ca="1" si="18"/>
        <v>3.3818286925522578E-2</v>
      </c>
      <c r="Z140" s="104" vm="1054">
        <f ca="1"/>
        <v>45320</v>
      </c>
      <c r="AA140" s="104" vm="1060">
        <f ca="1"/>
        <v>1418.9</v>
      </c>
      <c r="AB140" s="105">
        <f t="shared" ca="1" si="19"/>
        <v>-2.1448275862068877E-2</v>
      </c>
      <c r="AD140" s="104" vm="1054">
        <f ca="1"/>
        <v>45320</v>
      </c>
      <c r="AE140" s="104" vm="1061">
        <f ca="1"/>
        <v>377.85</v>
      </c>
      <c r="AF140" s="105">
        <f t="shared" ca="1" si="20"/>
        <v>-2.4399690162664522E-2</v>
      </c>
    </row>
    <row r="141" spans="2:32" x14ac:dyDescent="0.3">
      <c r="B141" s="104" vm="1062">
        <f ca="1"/>
        <v>45327</v>
      </c>
      <c r="C141" s="104" vm="1063">
        <f ca="1"/>
        <v>2951.65</v>
      </c>
      <c r="D141" s="105">
        <f t="shared" ca="1" si="14"/>
        <v>5.2276674726696726E-3</v>
      </c>
      <c r="F141" s="104" vm="1062">
        <f ca="1"/>
        <v>45327</v>
      </c>
      <c r="G141" s="104" vm="1064">
        <f ca="1"/>
        <v>21782.5</v>
      </c>
      <c r="H141" s="105">
        <f t="shared" ca="1" si="15"/>
        <v>-3.2625904876955047E-3</v>
      </c>
      <c r="N141" s="104" vm="1062">
        <f ca="1"/>
        <v>45327</v>
      </c>
      <c r="O141" s="104" vm="1065">
        <f ca="1"/>
        <v>315.09969999999998</v>
      </c>
      <c r="P141" s="105">
        <f t="shared" ca="1" si="16"/>
        <v>-6.9750476786547333E-2</v>
      </c>
      <c r="R141" s="104" vm="1062">
        <f ca="1"/>
        <v>45327</v>
      </c>
      <c r="S141" s="104" vm="1066">
        <f ca="1"/>
        <v>554</v>
      </c>
      <c r="T141" s="105">
        <f t="shared" ca="1" si="17"/>
        <v>-2.730225616714943E-2</v>
      </c>
      <c r="V141" s="104" vm="1062">
        <f ca="1"/>
        <v>45327</v>
      </c>
      <c r="W141" s="104" vm="1067">
        <f ca="1"/>
        <v>2752.8114999999998</v>
      </c>
      <c r="X141" s="105">
        <f t="shared" ca="1" si="18"/>
        <v>7.2096932299822836E-2</v>
      </c>
      <c r="Z141" s="104" vm="1062">
        <f ca="1"/>
        <v>45327</v>
      </c>
      <c r="AA141" s="104" vm="1068">
        <f ca="1"/>
        <v>1423.3</v>
      </c>
      <c r="AB141" s="105">
        <f t="shared" ca="1" si="19"/>
        <v>3.1009937275352506E-3</v>
      </c>
      <c r="AD141" s="104" vm="1062">
        <f ca="1"/>
        <v>45327</v>
      </c>
      <c r="AE141" s="104" vm="1069">
        <f ca="1"/>
        <v>376.7</v>
      </c>
      <c r="AF141" s="105">
        <f t="shared" ca="1" si="20"/>
        <v>-3.0435357946275721E-3</v>
      </c>
    </row>
    <row r="142" spans="2:32" x14ac:dyDescent="0.3">
      <c r="B142" s="104" vm="1070">
        <f ca="1"/>
        <v>45334</v>
      </c>
      <c r="C142" s="104" vm="1071">
        <f ca="1"/>
        <v>3007.9</v>
      </c>
      <c r="D142" s="105">
        <f t="shared" ca="1" si="14"/>
        <v>1.9057137533244006E-2</v>
      </c>
      <c r="F142" s="104" vm="1070">
        <f ca="1"/>
        <v>45334</v>
      </c>
      <c r="G142" s="104" vm="1072">
        <f ca="1"/>
        <v>22040.7</v>
      </c>
      <c r="H142" s="105">
        <f t="shared" ca="1" si="15"/>
        <v>1.1853552163433978E-2</v>
      </c>
      <c r="N142" s="104" vm="1070">
        <f ca="1"/>
        <v>45334</v>
      </c>
      <c r="O142" s="104" vm="964">
        <f ca="1"/>
        <v>302.8141</v>
      </c>
      <c r="P142" s="105">
        <f t="shared" ca="1" si="16"/>
        <v>-3.8989564255376918E-2</v>
      </c>
      <c r="R142" s="104" vm="1070">
        <f ca="1"/>
        <v>45334</v>
      </c>
      <c r="S142" s="104" vm="1073">
        <f ca="1"/>
        <v>562.9</v>
      </c>
      <c r="T142" s="105">
        <f t="shared" ca="1" si="17"/>
        <v>1.606498194945849E-2</v>
      </c>
      <c r="V142" s="104" vm="1070">
        <f ca="1"/>
        <v>45334</v>
      </c>
      <c r="W142" s="104" vm="1074">
        <f ca="1"/>
        <v>2718.8787000000002</v>
      </c>
      <c r="X142" s="105">
        <f t="shared" ca="1" si="18"/>
        <v>-1.2326597734715783E-2</v>
      </c>
      <c r="Z142" s="104" vm="1070">
        <f ca="1"/>
        <v>45334</v>
      </c>
      <c r="AA142" s="104" vm="1075">
        <f ca="1"/>
        <v>1494.7</v>
      </c>
      <c r="AB142" s="105">
        <f t="shared" ca="1" si="19"/>
        <v>5.0165109253144102E-2</v>
      </c>
      <c r="AD142" s="104" vm="1070">
        <f ca="1"/>
        <v>45334</v>
      </c>
      <c r="AE142" s="104" vm="1076">
        <f ca="1"/>
        <v>369.25</v>
      </c>
      <c r="AF142" s="105">
        <f t="shared" ca="1" si="20"/>
        <v>-1.977701088399253E-2</v>
      </c>
    </row>
    <row r="143" spans="2:32" x14ac:dyDescent="0.3">
      <c r="B143" s="104" vm="1077">
        <f ca="1"/>
        <v>45341</v>
      </c>
      <c r="C143" s="104" vm="1078">
        <f ca="1"/>
        <v>2985.95</v>
      </c>
      <c r="D143" s="105">
        <f t="shared" ca="1" si="14"/>
        <v>-7.2974500482064775E-3</v>
      </c>
      <c r="F143" s="104" vm="1077">
        <f ca="1"/>
        <v>45341</v>
      </c>
      <c r="G143" s="104" vm="1079">
        <f ca="1"/>
        <v>22212.7</v>
      </c>
      <c r="H143" s="105">
        <f t="shared" ca="1" si="15"/>
        <v>7.8037448901351336E-3</v>
      </c>
      <c r="N143" s="104" vm="1077">
        <f ca="1"/>
        <v>45341</v>
      </c>
      <c r="O143" s="104" vm="1080">
        <f ca="1"/>
        <v>300.3768</v>
      </c>
      <c r="P143" s="105">
        <f t="shared" ca="1" si="16"/>
        <v>-8.0488326005955235E-3</v>
      </c>
      <c r="R143" s="104" vm="1077">
        <f ca="1"/>
        <v>45341</v>
      </c>
      <c r="S143" s="104" vm="1081">
        <f ca="1"/>
        <v>571.9</v>
      </c>
      <c r="T143" s="105">
        <f t="shared" ca="1" si="17"/>
        <v>1.5988630307337104E-2</v>
      </c>
      <c r="V143" s="104" vm="1077">
        <f ca="1"/>
        <v>45341</v>
      </c>
      <c r="W143" s="104" vm="1082">
        <f ca="1"/>
        <v>2616.6019000000001</v>
      </c>
      <c r="X143" s="105">
        <f t="shared" ca="1" si="18"/>
        <v>-3.7617272149728542E-2</v>
      </c>
      <c r="Z143" s="104" vm="1077">
        <f ca="1"/>
        <v>45341</v>
      </c>
      <c r="AA143" s="104" vm="1083">
        <f ca="1"/>
        <v>1443.5</v>
      </c>
      <c r="AB143" s="105">
        <f t="shared" ca="1" si="19"/>
        <v>-3.4254365424499889E-2</v>
      </c>
      <c r="AD143" s="104" vm="1077">
        <f ca="1"/>
        <v>45341</v>
      </c>
      <c r="AE143" s="104" vm="1084">
        <f ca="1"/>
        <v>364.6</v>
      </c>
      <c r="AF143" s="105">
        <f t="shared" ca="1" si="20"/>
        <v>-1.259309410968168E-2</v>
      </c>
    </row>
    <row r="144" spans="2:32" x14ac:dyDescent="0.3">
      <c r="B144" s="104" vm="1085">
        <f ca="1"/>
        <v>45348</v>
      </c>
      <c r="C144" s="104" vm="1086">
        <f ca="1"/>
        <v>2849.8</v>
      </c>
      <c r="D144" s="105">
        <f t="shared" ca="1" si="14"/>
        <v>-4.5596878715316591E-2</v>
      </c>
      <c r="F144" s="104" vm="1085">
        <f ca="1"/>
        <v>45348</v>
      </c>
      <c r="G144" s="104" vm="1087">
        <f ca="1"/>
        <v>22378.400000000001</v>
      </c>
      <c r="H144" s="105">
        <f t="shared" ca="1" si="15"/>
        <v>7.4596964799416021E-3</v>
      </c>
      <c r="N144" s="104" vm="1085">
        <f ca="1"/>
        <v>45348</v>
      </c>
      <c r="O144" s="104" vm="1088">
        <f ca="1"/>
        <v>290.97609999999997</v>
      </c>
      <c r="P144" s="105">
        <f t="shared" ca="1" si="16"/>
        <v>-3.1296358440465522E-2</v>
      </c>
      <c r="R144" s="104" vm="1085">
        <f ca="1"/>
        <v>45348</v>
      </c>
      <c r="S144" s="104" vm="1089">
        <f ca="1"/>
        <v>593.15</v>
      </c>
      <c r="T144" s="105">
        <f t="shared" ca="1" si="17"/>
        <v>3.7156845602378086E-2</v>
      </c>
      <c r="V144" s="104" vm="1085">
        <f ca="1"/>
        <v>45348</v>
      </c>
      <c r="W144" s="104" vm="1090">
        <f ca="1"/>
        <v>2414.6806000000001</v>
      </c>
      <c r="X144" s="105">
        <f t="shared" ca="1" si="18"/>
        <v>-7.7169285858884384E-2</v>
      </c>
      <c r="Z144" s="104" vm="1085">
        <f ca="1"/>
        <v>45348</v>
      </c>
      <c r="AA144" s="104" vm="1091">
        <f ca="1"/>
        <v>1408.15</v>
      </c>
      <c r="AB144" s="105">
        <f t="shared" ca="1" si="19"/>
        <v>-2.4489089019743671E-2</v>
      </c>
      <c r="AD144" s="104" vm="1085">
        <f ca="1"/>
        <v>45348</v>
      </c>
      <c r="AE144" s="104" vm="1092">
        <f ca="1"/>
        <v>348.6</v>
      </c>
      <c r="AF144" s="105">
        <f t="shared" ca="1" si="20"/>
        <v>-4.3883708173340641E-2</v>
      </c>
    </row>
    <row r="145" spans="2:32" x14ac:dyDescent="0.3">
      <c r="B145" s="104" vm="1093">
        <f ca="1"/>
        <v>45355</v>
      </c>
      <c r="C145" s="104" vm="1094">
        <f ca="1"/>
        <v>2870.55</v>
      </c>
      <c r="D145" s="105">
        <f t="shared" ca="1" si="14"/>
        <v>7.2812127166819174E-3</v>
      </c>
      <c r="F145" s="104" vm="1093">
        <f ca="1"/>
        <v>45355</v>
      </c>
      <c r="G145" s="104" vm="1095">
        <f ca="1"/>
        <v>22493.55</v>
      </c>
      <c r="H145" s="105">
        <f t="shared" ca="1" si="15"/>
        <v>5.1455868158580831E-3</v>
      </c>
      <c r="N145" s="104" vm="1093">
        <f ca="1"/>
        <v>45355</v>
      </c>
      <c r="O145" s="104" vm="1096">
        <f ca="1"/>
        <v>282.57010000000002</v>
      </c>
      <c r="P145" s="105">
        <f t="shared" ca="1" si="16"/>
        <v>-2.8888970606176789E-2</v>
      </c>
      <c r="R145" s="104" vm="1093">
        <f ca="1"/>
        <v>45355</v>
      </c>
      <c r="S145" s="104" vm="1097">
        <f ca="1"/>
        <v>573.4</v>
      </c>
      <c r="T145" s="105">
        <f t="shared" ca="1" si="17"/>
        <v>-3.3296805192615686E-2</v>
      </c>
      <c r="V145" s="104" vm="1093">
        <f ca="1"/>
        <v>45355</v>
      </c>
      <c r="W145" s="104" vm="1098">
        <f ca="1"/>
        <v>2315.1795999999999</v>
      </c>
      <c r="X145" s="105">
        <f t="shared" ca="1" si="18"/>
        <v>-4.1206692098325615E-2</v>
      </c>
      <c r="Z145" s="104" vm="1093">
        <f ca="1"/>
        <v>45355</v>
      </c>
      <c r="AA145" s="104" vm="1099">
        <f ca="1"/>
        <v>1363.55</v>
      </c>
      <c r="AB145" s="105">
        <f t="shared" ca="1" si="19"/>
        <v>-3.1672762134715815E-2</v>
      </c>
      <c r="AD145" s="104" vm="1093">
        <f ca="1"/>
        <v>45355</v>
      </c>
      <c r="AE145" s="104" vm="1100">
        <f ca="1"/>
        <v>334.5</v>
      </c>
      <c r="AF145" s="105">
        <f t="shared" ca="1" si="20"/>
        <v>-4.0447504302926096E-2</v>
      </c>
    </row>
    <row r="146" spans="2:32" x14ac:dyDescent="0.3">
      <c r="B146" s="104" vm="1101">
        <f ca="1"/>
        <v>45362</v>
      </c>
      <c r="C146" s="104" vm="1102">
        <f ca="1"/>
        <v>2867.55</v>
      </c>
      <c r="D146" s="105">
        <f t="shared" ca="1" si="14"/>
        <v>-1.0450958875476424E-3</v>
      </c>
      <c r="F146" s="104" vm="1101">
        <f ca="1"/>
        <v>45362</v>
      </c>
      <c r="G146" s="104" vm="1103">
        <f ca="1"/>
        <v>22023.35</v>
      </c>
      <c r="H146" s="105">
        <f t="shared" ca="1" si="15"/>
        <v>-2.0903770191899484E-2</v>
      </c>
      <c r="N146" s="104" vm="1101">
        <f ca="1"/>
        <v>45362</v>
      </c>
      <c r="O146" s="104" vm="1104">
        <f ca="1"/>
        <v>269.93630000000002</v>
      </c>
      <c r="P146" s="105">
        <f t="shared" ca="1" si="16"/>
        <v>-4.4710321438821699E-2</v>
      </c>
      <c r="R146" s="104" vm="1101">
        <f ca="1"/>
        <v>45362</v>
      </c>
      <c r="S146" s="104" vm="1105">
        <f ca="1"/>
        <v>557.79999999999995</v>
      </c>
      <c r="T146" s="105">
        <f t="shared" ca="1" si="17"/>
        <v>-2.7206138821067372E-2</v>
      </c>
      <c r="V146" s="104" vm="1101">
        <f ca="1"/>
        <v>45362</v>
      </c>
      <c r="W146" s="104" vm="1106">
        <f ca="1"/>
        <v>2292.3982999999998</v>
      </c>
      <c r="X146" s="105">
        <f t="shared" ca="1" si="18"/>
        <v>-9.8399709465305518E-3</v>
      </c>
      <c r="Z146" s="104" vm="1101">
        <f ca="1"/>
        <v>45362</v>
      </c>
      <c r="AA146" s="104" vm="1107">
        <f ca="1"/>
        <v>1341.45</v>
      </c>
      <c r="AB146" s="105">
        <f t="shared" ca="1" si="19"/>
        <v>-1.6207693153899694E-2</v>
      </c>
      <c r="AD146" s="104" vm="1101">
        <f ca="1"/>
        <v>45362</v>
      </c>
      <c r="AE146" s="104" vm="1108">
        <f ca="1"/>
        <v>302.5</v>
      </c>
      <c r="AF146" s="105">
        <f t="shared" ca="1" si="20"/>
        <v>-9.5665171898355772E-2</v>
      </c>
    </row>
    <row r="147" spans="2:32" x14ac:dyDescent="0.3">
      <c r="B147" s="104" vm="1109">
        <f ca="1"/>
        <v>45369</v>
      </c>
      <c r="C147" s="104" vm="1110">
        <f ca="1"/>
        <v>2841.5</v>
      </c>
      <c r="D147" s="105">
        <f t="shared" ca="1" si="14"/>
        <v>-9.0844100364423364E-3</v>
      </c>
      <c r="F147" s="104" vm="1109">
        <f ca="1"/>
        <v>45369</v>
      </c>
      <c r="G147" s="104" vm="1111">
        <f ca="1"/>
        <v>22096.75</v>
      </c>
      <c r="H147" s="105">
        <f t="shared" ca="1" si="15"/>
        <v>3.3328262957270649E-3</v>
      </c>
      <c r="N147" s="104" vm="1109">
        <f ca="1"/>
        <v>45369</v>
      </c>
      <c r="O147" s="104" vm="1112">
        <f ca="1"/>
        <v>267.25029999999998</v>
      </c>
      <c r="P147" s="105">
        <f t="shared" ca="1" si="16"/>
        <v>-9.9504957280663886E-3</v>
      </c>
      <c r="R147" s="104" vm="1109">
        <f ca="1"/>
        <v>45369</v>
      </c>
      <c r="S147" s="104" vm="1113">
        <f ca="1"/>
        <v>558.35</v>
      </c>
      <c r="T147" s="105">
        <f t="shared" ca="1" si="17"/>
        <v>9.8601649336682584E-4</v>
      </c>
      <c r="V147" s="104" vm="1109">
        <f ca="1"/>
        <v>45369</v>
      </c>
      <c r="W147" s="104" vm="1114">
        <f ca="1"/>
        <v>2357.105</v>
      </c>
      <c r="X147" s="105">
        <f t="shared" ca="1" si="18"/>
        <v>2.8226639323541747E-2</v>
      </c>
      <c r="Z147" s="104" vm="1109">
        <f ca="1"/>
        <v>45369</v>
      </c>
      <c r="AA147" s="104" vm="1115">
        <f ca="1"/>
        <v>1321.2</v>
      </c>
      <c r="AB147" s="105">
        <f t="shared" ca="1" si="19"/>
        <v>-1.5095605501509568E-2</v>
      </c>
      <c r="AD147" s="104" vm="1109">
        <f ca="1"/>
        <v>45369</v>
      </c>
      <c r="AE147" s="104" vm="524">
        <f ca="1"/>
        <v>299.05</v>
      </c>
      <c r="AF147" s="105">
        <f t="shared" ca="1" si="20"/>
        <v>-1.1404958677685872E-2</v>
      </c>
    </row>
    <row r="148" spans="2:32" x14ac:dyDescent="0.3">
      <c r="B148" s="104" vm="1116">
        <f ca="1"/>
        <v>45377</v>
      </c>
      <c r="C148" s="104" vm="1117">
        <f ca="1"/>
        <v>2846.75</v>
      </c>
      <c r="D148" s="105">
        <f t="shared" ca="1" si="14"/>
        <v>1.8476156959352785E-3</v>
      </c>
      <c r="F148" s="104" vm="1116">
        <f ca="1"/>
        <v>45377</v>
      </c>
      <c r="G148" s="104" vm="1118">
        <f ca="1"/>
        <v>22326.9</v>
      </c>
      <c r="H148" s="105">
        <f t="shared" ca="1" si="15"/>
        <v>1.0415558849152129E-2</v>
      </c>
      <c r="N148" s="104" vm="1116">
        <f ca="1"/>
        <v>45377</v>
      </c>
      <c r="O148" s="104" vm="1119">
        <f ca="1"/>
        <v>260.88369999999998</v>
      </c>
      <c r="P148" s="105">
        <f t="shared" ca="1" si="16"/>
        <v>-2.3822611237480418E-2</v>
      </c>
      <c r="R148" s="104" vm="1116">
        <f ca="1"/>
        <v>45377</v>
      </c>
      <c r="S148" s="104" vm="1120">
        <f ca="1"/>
        <v>573.04999999999995</v>
      </c>
      <c r="T148" s="105">
        <f t="shared" ca="1" si="17"/>
        <v>2.6327572311274139E-2</v>
      </c>
      <c r="V148" s="104" vm="1116">
        <f ca="1"/>
        <v>45377</v>
      </c>
      <c r="W148" s="104" vm="1121">
        <f ca="1"/>
        <v>2282.6347999999998</v>
      </c>
      <c r="X148" s="105">
        <f t="shared" ca="1" si="18"/>
        <v>-3.159392559941121E-2</v>
      </c>
      <c r="Z148" s="104" vm="1116">
        <f ca="1"/>
        <v>45377</v>
      </c>
      <c r="AA148" s="104" vm="1122">
        <f ca="1"/>
        <v>1256.5999999999999</v>
      </c>
      <c r="AB148" s="105">
        <f t="shared" ca="1" si="19"/>
        <v>-4.8894943990311912E-2</v>
      </c>
      <c r="AD148" s="104" vm="1116">
        <f ca="1"/>
        <v>45377</v>
      </c>
      <c r="AE148" s="104" vm="1123">
        <f ca="1"/>
        <v>284.64999999999998</v>
      </c>
      <c r="AF148" s="105">
        <f t="shared" ca="1" si="20"/>
        <v>-4.8152482862397705E-2</v>
      </c>
    </row>
    <row r="149" spans="2:32" x14ac:dyDescent="0.3">
      <c r="B149" s="104" vm="1124">
        <f ca="1"/>
        <v>45383</v>
      </c>
      <c r="C149" s="104" vm="1125">
        <f ca="1"/>
        <v>2883.45</v>
      </c>
      <c r="D149" s="105">
        <f t="shared" ca="1" si="14"/>
        <v>1.2891894265390391E-2</v>
      </c>
      <c r="F149" s="104" vm="1124">
        <f ca="1"/>
        <v>45383</v>
      </c>
      <c r="G149" s="104" vm="1126">
        <f ca="1"/>
        <v>22513.7</v>
      </c>
      <c r="H149" s="105">
        <f t="shared" ca="1" si="15"/>
        <v>8.3665891816597782E-3</v>
      </c>
      <c r="N149" s="104" vm="1124">
        <f ca="1"/>
        <v>45383</v>
      </c>
      <c r="O149" s="104" vm="1127">
        <f ca="1"/>
        <v>283.6644</v>
      </c>
      <c r="P149" s="105">
        <f t="shared" ca="1" si="16"/>
        <v>8.732128530835781E-2</v>
      </c>
      <c r="R149" s="104" vm="1124">
        <f ca="1"/>
        <v>45383</v>
      </c>
      <c r="S149" s="104" vm="1128">
        <f ca="1"/>
        <v>562.15</v>
      </c>
      <c r="T149" s="105">
        <f t="shared" ca="1" si="17"/>
        <v>-1.902102783352233E-2</v>
      </c>
      <c r="V149" s="104" vm="1124">
        <f ca="1"/>
        <v>45383</v>
      </c>
      <c r="W149" s="104" vm="1129">
        <f ca="1"/>
        <v>2366.7727</v>
      </c>
      <c r="X149" s="105">
        <f t="shared" ca="1" si="18"/>
        <v>3.685999179544619E-2</v>
      </c>
      <c r="Z149" s="104" vm="1124">
        <f ca="1"/>
        <v>45383</v>
      </c>
      <c r="AA149" s="104" vm="1130">
        <f ca="1"/>
        <v>1394.65</v>
      </c>
      <c r="AB149" s="105">
        <f t="shared" ca="1" si="19"/>
        <v>0.10985993951933803</v>
      </c>
      <c r="AD149" s="104" vm="1124">
        <f ca="1"/>
        <v>45383</v>
      </c>
      <c r="AE149" s="104" vm="1131">
        <f ca="1"/>
        <v>352.2</v>
      </c>
      <c r="AF149" s="105">
        <f t="shared" ca="1" si="20"/>
        <v>0.23730897593535927</v>
      </c>
    </row>
    <row r="150" spans="2:32" x14ac:dyDescent="0.3">
      <c r="B150" s="104" vm="1132">
        <f ca="1"/>
        <v>45390</v>
      </c>
      <c r="C150" s="104" vm="1133">
        <f ca="1"/>
        <v>2854.5</v>
      </c>
      <c r="D150" s="105">
        <f t="shared" ca="1" si="14"/>
        <v>-1.0040056182697765E-2</v>
      </c>
      <c r="F150" s="104" vm="1132">
        <f ca="1"/>
        <v>45390</v>
      </c>
      <c r="G150" s="104" vm="1134">
        <f ca="1"/>
        <v>22519.4</v>
      </c>
      <c r="H150" s="105">
        <f t="shared" ca="1" si="15"/>
        <v>2.5317917534661838E-4</v>
      </c>
      <c r="N150" s="104" vm="1132">
        <f ca="1"/>
        <v>45390</v>
      </c>
      <c r="O150" s="104" vm="1135">
        <f ca="1"/>
        <v>278.9391</v>
      </c>
      <c r="P150" s="105">
        <f t="shared" ca="1" si="16"/>
        <v>-1.6658064952810414E-2</v>
      </c>
      <c r="R150" s="104" vm="1132">
        <f ca="1"/>
        <v>45390</v>
      </c>
      <c r="S150" s="104" vm="1136">
        <f ca="1"/>
        <v>556.75</v>
      </c>
      <c r="T150" s="105">
        <f t="shared" ca="1" si="17"/>
        <v>-9.6059770523880816E-3</v>
      </c>
      <c r="V150" s="104" vm="1132">
        <f ca="1"/>
        <v>45390</v>
      </c>
      <c r="W150" s="104" vm="1137">
        <f ca="1"/>
        <v>2350.596</v>
      </c>
      <c r="X150" s="105">
        <f t="shared" ca="1" si="18"/>
        <v>-6.8349191284824418E-3</v>
      </c>
      <c r="Z150" s="104" vm="1132">
        <f ca="1"/>
        <v>45390</v>
      </c>
      <c r="AA150" s="104" vm="1138">
        <f ca="1"/>
        <v>1347.8</v>
      </c>
      <c r="AB150" s="105">
        <f t="shared" ca="1" si="19"/>
        <v>-3.3592657656042801E-2</v>
      </c>
      <c r="AD150" s="104" vm="1132">
        <f ca="1"/>
        <v>45390</v>
      </c>
      <c r="AE150" s="104" vm="1139">
        <f ca="1"/>
        <v>337.3</v>
      </c>
      <c r="AF150" s="105">
        <f t="shared" ca="1" si="20"/>
        <v>-4.2305508233957956E-2</v>
      </c>
    </row>
    <row r="151" spans="2:32" x14ac:dyDescent="0.3">
      <c r="B151" s="104" vm="1140">
        <f ca="1"/>
        <v>45397</v>
      </c>
      <c r="C151" s="104" vm="1141">
        <f ca="1"/>
        <v>2808.55</v>
      </c>
      <c r="D151" s="105">
        <f t="shared" ca="1" si="14"/>
        <v>-1.6097390085829333E-2</v>
      </c>
      <c r="F151" s="104" vm="1140">
        <f ca="1"/>
        <v>45397</v>
      </c>
      <c r="G151" s="104" vm="1142">
        <f ca="1"/>
        <v>22147</v>
      </c>
      <c r="H151" s="105">
        <f t="shared" ca="1" si="15"/>
        <v>-1.6536852669254087E-2</v>
      </c>
      <c r="N151" s="104" vm="1140">
        <f ca="1"/>
        <v>45397</v>
      </c>
      <c r="O151" s="104" vm="1143">
        <f ca="1"/>
        <v>271.92579999999998</v>
      </c>
      <c r="P151" s="105">
        <f t="shared" ca="1" si="16"/>
        <v>-2.5142764137404905E-2</v>
      </c>
      <c r="R151" s="104" vm="1140">
        <f ca="1"/>
        <v>45397</v>
      </c>
      <c r="S151" s="104" vm="1144">
        <f ca="1"/>
        <v>504.55</v>
      </c>
      <c r="T151" s="105">
        <f t="shared" ca="1" si="17"/>
        <v>-9.3758419398293658E-2</v>
      </c>
      <c r="V151" s="104" vm="1140">
        <f ca="1"/>
        <v>45397</v>
      </c>
      <c r="W151" s="104" vm="1145">
        <f ca="1"/>
        <v>2303.2624999999998</v>
      </c>
      <c r="X151" s="105">
        <f t="shared" ca="1" si="18"/>
        <v>-2.0136807856390493E-2</v>
      </c>
      <c r="Z151" s="104" vm="1140">
        <f ca="1"/>
        <v>45397</v>
      </c>
      <c r="AA151" s="104" vm="1146">
        <f ca="1"/>
        <v>1312.25</v>
      </c>
      <c r="AB151" s="105">
        <f t="shared" ca="1" si="19"/>
        <v>-2.6376316960973423E-2</v>
      </c>
      <c r="AD151" s="104" vm="1140">
        <f ca="1"/>
        <v>45397</v>
      </c>
      <c r="AE151" s="104" vm="1147">
        <f ca="1"/>
        <v>319.75</v>
      </c>
      <c r="AF151" s="105">
        <f t="shared" ca="1" si="20"/>
        <v>-5.2030833086273431E-2</v>
      </c>
    </row>
    <row r="152" spans="2:32" x14ac:dyDescent="0.3">
      <c r="B152" s="104" vm="1148">
        <f ca="1"/>
        <v>45404</v>
      </c>
      <c r="C152" s="104" vm="1149">
        <f ca="1"/>
        <v>2844.15</v>
      </c>
      <c r="D152" s="105">
        <f t="shared" ca="1" si="14"/>
        <v>1.2675579925584435E-2</v>
      </c>
      <c r="F152" s="104" vm="1148">
        <f ca="1"/>
        <v>45404</v>
      </c>
      <c r="G152" s="104" vm="1150">
        <f ca="1"/>
        <v>22419.95</v>
      </c>
      <c r="H152" s="105">
        <f t="shared" ca="1" si="15"/>
        <v>1.2324468325281002E-2</v>
      </c>
      <c r="N152" s="104" vm="1148">
        <f ca="1"/>
        <v>45404</v>
      </c>
      <c r="O152" s="104" vm="1151">
        <f ca="1"/>
        <v>278.44170000000003</v>
      </c>
      <c r="P152" s="105">
        <f t="shared" ca="1" si="16"/>
        <v>2.3962051412554697E-2</v>
      </c>
      <c r="R152" s="104" vm="1148">
        <f ca="1"/>
        <v>45404</v>
      </c>
      <c r="S152" s="104" vm="1152">
        <f ca="1"/>
        <v>503.1</v>
      </c>
      <c r="T152" s="105">
        <f t="shared" ca="1" si="17"/>
        <v>-2.8738479833514408E-3</v>
      </c>
      <c r="V152" s="104" vm="1148">
        <f ca="1"/>
        <v>45404</v>
      </c>
      <c r="W152" s="104" vm="1153">
        <f ca="1"/>
        <v>2337.4823999999999</v>
      </c>
      <c r="X152" s="105">
        <f t="shared" ca="1" si="18"/>
        <v>1.4857142857142902E-2</v>
      </c>
      <c r="Z152" s="104" vm="1148">
        <f ca="1"/>
        <v>45404</v>
      </c>
      <c r="AA152" s="104" vm="1154">
        <f ca="1"/>
        <v>1325</v>
      </c>
      <c r="AB152" s="105">
        <f t="shared" ca="1" si="19"/>
        <v>9.7161364069346945E-3</v>
      </c>
      <c r="AD152" s="104" vm="1148">
        <f ca="1"/>
        <v>45404</v>
      </c>
      <c r="AE152" s="104" vm="1155">
        <f ca="1"/>
        <v>318.55</v>
      </c>
      <c r="AF152" s="105">
        <f t="shared" ca="1" si="20"/>
        <v>-3.7529319781078874E-3</v>
      </c>
    </row>
    <row r="153" spans="2:32" x14ac:dyDescent="0.3">
      <c r="B153" s="104" vm="1156">
        <f ca="1"/>
        <v>45411</v>
      </c>
      <c r="C153" s="104" vm="1157">
        <f ca="1"/>
        <v>2929.75</v>
      </c>
      <c r="D153" s="105">
        <f t="shared" ca="1" si="14"/>
        <v>3.0096865495842229E-2</v>
      </c>
      <c r="F153" s="104" vm="1156">
        <f ca="1"/>
        <v>45411</v>
      </c>
      <c r="G153" s="104" vm="1158">
        <f ca="1"/>
        <v>22475.85</v>
      </c>
      <c r="H153" s="105">
        <f t="shared" ca="1" si="15"/>
        <v>2.4933151055197555E-3</v>
      </c>
      <c r="N153" s="104" vm="1156">
        <f ca="1"/>
        <v>45411</v>
      </c>
      <c r="O153" s="104" vm="1159">
        <f ca="1"/>
        <v>286.05189999999999</v>
      </c>
      <c r="P153" s="105">
        <f t="shared" ca="1" si="16"/>
        <v>2.7331394686930688E-2</v>
      </c>
      <c r="R153" s="104" vm="1156">
        <f ca="1"/>
        <v>45411</v>
      </c>
      <c r="S153" s="104" vm="1160">
        <f ca="1"/>
        <v>523.25</v>
      </c>
      <c r="T153" s="105">
        <f t="shared" ca="1" si="17"/>
        <v>4.0051679586563305E-2</v>
      </c>
      <c r="V153" s="104" vm="1156">
        <f ca="1"/>
        <v>45411</v>
      </c>
      <c r="W153" s="104" vm="1161">
        <f ca="1"/>
        <v>2406.9272999999998</v>
      </c>
      <c r="X153" s="105">
        <f t="shared" ca="1" si="18"/>
        <v>2.9709271821682925E-2</v>
      </c>
      <c r="Z153" s="104" vm="1156">
        <f ca="1"/>
        <v>45411</v>
      </c>
      <c r="AA153" s="104" vm="1162">
        <f ca="1"/>
        <v>1380.2</v>
      </c>
      <c r="AB153" s="105">
        <f t="shared" ca="1" si="19"/>
        <v>4.1660377358490708E-2</v>
      </c>
      <c r="AD153" s="104" vm="1156">
        <f ca="1"/>
        <v>45411</v>
      </c>
      <c r="AE153" s="104" vm="1163">
        <f ca="1"/>
        <v>316.25</v>
      </c>
      <c r="AF153" s="105">
        <f t="shared" ca="1" si="20"/>
        <v>-7.2202166064981865E-3</v>
      </c>
    </row>
    <row r="154" spans="2:32" x14ac:dyDescent="0.3">
      <c r="B154" s="104" vm="1164">
        <f ca="1"/>
        <v>45418</v>
      </c>
      <c r="C154" s="104" vm="1165">
        <f ca="1"/>
        <v>2771.25</v>
      </c>
      <c r="D154" s="105">
        <f t="shared" ca="1" si="14"/>
        <v>-5.4100179196177156E-2</v>
      </c>
      <c r="F154" s="104" vm="1164">
        <f ca="1"/>
        <v>45418</v>
      </c>
      <c r="G154" s="104" vm="1166">
        <f ca="1"/>
        <v>22055.200000000001</v>
      </c>
      <c r="H154" s="105">
        <f t="shared" ca="1" si="15"/>
        <v>-1.8715643679771743E-2</v>
      </c>
      <c r="N154" s="104" vm="1164">
        <f ca="1"/>
        <v>45418</v>
      </c>
      <c r="O154" s="104" vm="1167">
        <f ca="1"/>
        <v>276.4024</v>
      </c>
      <c r="P154" s="105">
        <f t="shared" ca="1" si="16"/>
        <v>-3.3733388940957898E-2</v>
      </c>
      <c r="R154" s="104" vm="1164">
        <f ca="1"/>
        <v>45418</v>
      </c>
      <c r="S154" s="104" vm="1168">
        <f ca="1"/>
        <v>490.25</v>
      </c>
      <c r="T154" s="105">
        <f t="shared" ca="1" si="17"/>
        <v>-6.3067367415193476E-2</v>
      </c>
      <c r="V154" s="104" vm="1164">
        <f ca="1"/>
        <v>45418</v>
      </c>
      <c r="W154" s="104" vm="1169">
        <f ca="1"/>
        <v>2388.0225999999998</v>
      </c>
      <c r="X154" s="105">
        <f t="shared" ca="1" si="18"/>
        <v>-7.854287913058311E-3</v>
      </c>
      <c r="Z154" s="104" vm="1164">
        <f ca="1"/>
        <v>45418</v>
      </c>
      <c r="AA154" s="104" vm="1170">
        <f ca="1"/>
        <v>1354.55</v>
      </c>
      <c r="AB154" s="105">
        <f t="shared" ca="1" si="19"/>
        <v>-1.8584263150268177E-2</v>
      </c>
      <c r="AD154" s="104" vm="1164">
        <f ca="1"/>
        <v>45418</v>
      </c>
      <c r="AE154" s="104" vm="1171">
        <f ca="1"/>
        <v>317.25</v>
      </c>
      <c r="AF154" s="105">
        <f t="shared" ca="1" si="20"/>
        <v>3.1620553359683612E-3</v>
      </c>
    </row>
    <row r="155" spans="2:32" x14ac:dyDescent="0.3">
      <c r="B155" s="104" vm="1172">
        <f ca="1"/>
        <v>45425</v>
      </c>
      <c r="C155" s="104" vm="1173">
        <f ca="1"/>
        <v>2816.35</v>
      </c>
      <c r="D155" s="105">
        <f t="shared" ca="1" si="14"/>
        <v>1.6274244474514976E-2</v>
      </c>
      <c r="F155" s="104" vm="1172">
        <f ca="1"/>
        <v>45425</v>
      </c>
      <c r="G155" s="104" vm="1174">
        <f ca="1"/>
        <v>22502</v>
      </c>
      <c r="H155" s="105">
        <f t="shared" ca="1" si="15"/>
        <v>2.0258261090355001E-2</v>
      </c>
      <c r="N155" s="104" vm="1172">
        <f ca="1"/>
        <v>45425</v>
      </c>
      <c r="O155" s="104" vm="1167">
        <f ca="1"/>
        <v>276.4024</v>
      </c>
      <c r="P155" s="105">
        <f t="shared" ca="1" si="16"/>
        <v>0</v>
      </c>
      <c r="R155" s="104" vm="1172">
        <f ca="1"/>
        <v>45425</v>
      </c>
      <c r="S155" s="104" vm="1175">
        <f ca="1"/>
        <v>494.2</v>
      </c>
      <c r="T155" s="105">
        <f t="shared" ca="1" si="17"/>
        <v>8.0571137174909602E-3</v>
      </c>
      <c r="V155" s="104" vm="1172">
        <f ca="1"/>
        <v>45425</v>
      </c>
      <c r="W155" s="104" vm="1176">
        <f ca="1"/>
        <v>2504.1788000000001</v>
      </c>
      <c r="X155" s="105">
        <f t="shared" ca="1" si="18"/>
        <v>4.8641164451291408E-2</v>
      </c>
      <c r="Z155" s="104" vm="1172">
        <f ca="1"/>
        <v>45425</v>
      </c>
      <c r="AA155" s="104" vm="1177">
        <f ca="1"/>
        <v>1365</v>
      </c>
      <c r="AB155" s="105">
        <f t="shared" ca="1" si="19"/>
        <v>7.7147392122844938E-3</v>
      </c>
      <c r="AD155" s="104" vm="1172">
        <f ca="1"/>
        <v>45425</v>
      </c>
      <c r="AE155" s="104" vm="1178">
        <f ca="1"/>
        <v>318.85000000000002</v>
      </c>
      <c r="AF155" s="105">
        <f t="shared" ca="1" si="20"/>
        <v>5.0433412135539868E-3</v>
      </c>
    </row>
    <row r="156" spans="2:32" x14ac:dyDescent="0.3">
      <c r="B156" s="104" vm="1179">
        <f ca="1"/>
        <v>45433</v>
      </c>
      <c r="C156" s="104" vm="1180">
        <f ca="1"/>
        <v>2874.75</v>
      </c>
      <c r="D156" s="105">
        <f t="shared" ca="1" si="14"/>
        <v>2.0736059083565683E-2</v>
      </c>
      <c r="F156" s="104" vm="1179">
        <f ca="1"/>
        <v>45433</v>
      </c>
      <c r="G156" s="104" vm="1181">
        <f ca="1"/>
        <v>22957.1</v>
      </c>
      <c r="H156" s="105">
        <f t="shared" ca="1" si="15"/>
        <v>2.0224868900542203E-2</v>
      </c>
      <c r="N156" s="104" vm="1179">
        <f ca="1"/>
        <v>45433</v>
      </c>
      <c r="O156" s="104" vm="1182">
        <f ca="1"/>
        <v>271.82639999999998</v>
      </c>
      <c r="P156" s="105">
        <f t="shared" ca="1" si="16"/>
        <v>-1.6555572599948554E-2</v>
      </c>
      <c r="R156" s="104" vm="1179">
        <f ca="1"/>
        <v>45433</v>
      </c>
      <c r="S156" s="104" vm="1183">
        <f ca="1"/>
        <v>487.7</v>
      </c>
      <c r="T156" s="105">
        <f t="shared" ca="1" si="17"/>
        <v>-1.3152569809793624E-2</v>
      </c>
      <c r="V156" s="104" vm="1179">
        <f ca="1"/>
        <v>45433</v>
      </c>
      <c r="W156" s="104" vm="1184">
        <f ca="1"/>
        <v>2462.2055999999998</v>
      </c>
      <c r="X156" s="105">
        <f t="shared" ca="1" si="18"/>
        <v>-1.6761263213313837E-2</v>
      </c>
      <c r="Z156" s="104" vm="1179">
        <f ca="1"/>
        <v>45433</v>
      </c>
      <c r="AA156" s="104" vm="1185">
        <f ca="1"/>
        <v>1356.4</v>
      </c>
      <c r="AB156" s="105">
        <f t="shared" ca="1" si="19"/>
        <v>-6.3003663003662336E-3</v>
      </c>
      <c r="AD156" s="104" vm="1179">
        <f ca="1"/>
        <v>45433</v>
      </c>
      <c r="AE156" s="104" vm="1186">
        <f ca="1"/>
        <v>327.10000000000002</v>
      </c>
      <c r="AF156" s="105">
        <f t="shared" ca="1" si="20"/>
        <v>2.5874235533950074E-2</v>
      </c>
    </row>
    <row r="157" spans="2:32" x14ac:dyDescent="0.3">
      <c r="B157" s="104" vm="1187">
        <f ca="1"/>
        <v>45439</v>
      </c>
      <c r="C157" s="104" vm="1188">
        <f ca="1"/>
        <v>2881.2</v>
      </c>
      <c r="D157" s="105">
        <f t="shared" ca="1" si="14"/>
        <v>2.2436733629009886E-3</v>
      </c>
      <c r="F157" s="104" vm="1187">
        <f ca="1"/>
        <v>45439</v>
      </c>
      <c r="G157" s="104" vm="1189">
        <f ca="1"/>
        <v>22530.7</v>
      </c>
      <c r="H157" s="105">
        <f t="shared" ca="1" si="15"/>
        <v>-1.8573774562117951E-2</v>
      </c>
      <c r="N157" s="104" vm="1187">
        <f ca="1"/>
        <v>45439</v>
      </c>
      <c r="O157" s="104" vm="1190">
        <f ca="1"/>
        <v>268.19540000000001</v>
      </c>
      <c r="P157" s="105">
        <f t="shared" ca="1" si="16"/>
        <v>-1.3357790118987634E-2</v>
      </c>
      <c r="R157" s="104" vm="1187">
        <f ca="1"/>
        <v>45439</v>
      </c>
      <c r="S157" s="104" vm="1191">
        <f ca="1"/>
        <v>460</v>
      </c>
      <c r="T157" s="105">
        <f t="shared" ca="1" si="17"/>
        <v>-5.679721140045102E-2</v>
      </c>
      <c r="V157" s="104" vm="1187">
        <f ca="1"/>
        <v>45439</v>
      </c>
      <c r="W157" s="104" vm="1192">
        <f ca="1"/>
        <v>2455.7444999999998</v>
      </c>
      <c r="X157" s="105">
        <f t="shared" ca="1" si="18"/>
        <v>-2.6241106754042454E-3</v>
      </c>
      <c r="Z157" s="104" vm="1187">
        <f ca="1"/>
        <v>45439</v>
      </c>
      <c r="AA157" s="104" vm="1193">
        <f ca="1"/>
        <v>1340.3</v>
      </c>
      <c r="AB157" s="105">
        <f t="shared" ca="1" si="19"/>
        <v>-1.1869654969035803E-2</v>
      </c>
      <c r="AD157" s="104" vm="1187">
        <f ca="1"/>
        <v>45439</v>
      </c>
      <c r="AE157" s="104" vm="1194">
        <f ca="1"/>
        <v>313.3</v>
      </c>
      <c r="AF157" s="105">
        <f t="shared" ca="1" si="20"/>
        <v>-4.2188933047997534E-2</v>
      </c>
    </row>
    <row r="158" spans="2:32" x14ac:dyDescent="0.3">
      <c r="B158" s="104" vm="1195">
        <f ca="1"/>
        <v>45446</v>
      </c>
      <c r="C158" s="104" vm="1196">
        <f ca="1"/>
        <v>2927.7</v>
      </c>
      <c r="D158" s="105">
        <f t="shared" ca="1" si="14"/>
        <v>1.6139108704706473E-2</v>
      </c>
      <c r="F158" s="104" vm="1195">
        <f ca="1"/>
        <v>45446</v>
      </c>
      <c r="G158" s="104" vm="1197">
        <f ca="1"/>
        <v>23290.15</v>
      </c>
      <c r="H158" s="105">
        <f t="shared" ca="1" si="15"/>
        <v>3.3707341538434354E-2</v>
      </c>
      <c r="N158" s="104" vm="1195">
        <f ca="1"/>
        <v>45446</v>
      </c>
      <c r="O158" s="104" vm="1198">
        <f ca="1"/>
        <v>276.55160000000001</v>
      </c>
      <c r="P158" s="105">
        <f t="shared" ca="1" si="16"/>
        <v>3.1157133940403092E-2</v>
      </c>
      <c r="R158" s="104" vm="1195">
        <f ca="1"/>
        <v>45446</v>
      </c>
      <c r="S158" s="104" vm="1199">
        <f ca="1"/>
        <v>482.55</v>
      </c>
      <c r="T158" s="105">
        <f t="shared" ca="1" si="17"/>
        <v>4.9021739130434838E-2</v>
      </c>
      <c r="V158" s="104" vm="1195">
        <f ca="1"/>
        <v>45446</v>
      </c>
      <c r="W158" s="104" vm="1200">
        <f ca="1"/>
        <v>2543.7111</v>
      </c>
      <c r="X158" s="105">
        <f t="shared" ca="1" si="18"/>
        <v>3.5820746010018611E-2</v>
      </c>
      <c r="Z158" s="104" vm="1195">
        <f ca="1"/>
        <v>45446</v>
      </c>
      <c r="AA158" s="104" vm="1201">
        <f ca="1"/>
        <v>1365.65</v>
      </c>
      <c r="AB158" s="105">
        <f t="shared" ca="1" si="19"/>
        <v>1.891367604267713E-2</v>
      </c>
      <c r="AD158" s="104" vm="1195">
        <f ca="1"/>
        <v>45446</v>
      </c>
      <c r="AE158" s="104" vm="1202">
        <f ca="1"/>
        <v>323.10000000000002</v>
      </c>
      <c r="AF158" s="105">
        <f t="shared" ca="1" si="20"/>
        <v>3.127992339610608E-2</v>
      </c>
    </row>
    <row r="159" spans="2:32" x14ac:dyDescent="0.3">
      <c r="B159" s="104" vm="1203">
        <f ca="1"/>
        <v>45453</v>
      </c>
      <c r="C159" s="104" vm="1204">
        <f ca="1"/>
        <v>2921.6</v>
      </c>
      <c r="D159" s="105">
        <f t="shared" ca="1" si="14"/>
        <v>-2.0835468114902556E-3</v>
      </c>
      <c r="F159" s="104" vm="1203">
        <f ca="1"/>
        <v>45453</v>
      </c>
      <c r="G159" s="104" vm="1205">
        <f ca="1"/>
        <v>23465.599999999999</v>
      </c>
      <c r="H159" s="105">
        <f t="shared" ca="1" si="15"/>
        <v>7.5332275661599279E-3</v>
      </c>
      <c r="N159" s="104" vm="1203">
        <f ca="1"/>
        <v>45453</v>
      </c>
      <c r="O159" s="104" vm="1206">
        <f ca="1"/>
        <v>281.42610000000002</v>
      </c>
      <c r="P159" s="105">
        <f t="shared" ca="1" si="16"/>
        <v>1.7626005418157176E-2</v>
      </c>
      <c r="R159" s="104" vm="1203">
        <f ca="1"/>
        <v>45453</v>
      </c>
      <c r="S159" s="104" vm="1207">
        <f ca="1"/>
        <v>502.7</v>
      </c>
      <c r="T159" s="105">
        <f t="shared" ca="1" si="17"/>
        <v>4.1757330846544427E-2</v>
      </c>
      <c r="V159" s="104" vm="1203">
        <f ca="1"/>
        <v>45453</v>
      </c>
      <c r="W159" s="104" vm="1208">
        <f ca="1"/>
        <v>2726.297</v>
      </c>
      <c r="X159" s="105">
        <f t="shared" ca="1" si="18"/>
        <v>7.1779338463397124E-2</v>
      </c>
      <c r="Z159" s="104" vm="1203">
        <f ca="1"/>
        <v>45453</v>
      </c>
      <c r="AA159" s="104" vm="1209">
        <f ca="1"/>
        <v>1374.9</v>
      </c>
      <c r="AB159" s="105">
        <f t="shared" ca="1" si="19"/>
        <v>6.7733313806612738E-3</v>
      </c>
      <c r="AD159" s="104" vm="1203">
        <f ca="1"/>
        <v>45453</v>
      </c>
      <c r="AE159" s="104" vm="762">
        <f ca="1"/>
        <v>328.65</v>
      </c>
      <c r="AF159" s="105">
        <f t="shared" ca="1" si="20"/>
        <v>1.7177344475394429E-2</v>
      </c>
    </row>
    <row r="160" spans="2:32" x14ac:dyDescent="0.3">
      <c r="B160" s="104" vm="1210">
        <f ca="1"/>
        <v>45461</v>
      </c>
      <c r="C160" s="104" vm="1211">
        <f ca="1"/>
        <v>2890.85</v>
      </c>
      <c r="D160" s="105">
        <f t="shared" ca="1" si="14"/>
        <v>-1.0525054764512598E-2</v>
      </c>
      <c r="F160" s="104" vm="1210">
        <f ca="1"/>
        <v>45461</v>
      </c>
      <c r="G160" s="104" vm="1212">
        <f ca="1"/>
        <v>23501.1</v>
      </c>
      <c r="H160" s="105">
        <f t="shared" ca="1" si="15"/>
        <v>1.5128528569481325E-3</v>
      </c>
      <c r="N160" s="104" vm="1210">
        <f ca="1"/>
        <v>45461</v>
      </c>
      <c r="O160" s="104" vm="1213">
        <f ca="1"/>
        <v>272.7217</v>
      </c>
      <c r="P160" s="105">
        <f t="shared" ca="1" si="16"/>
        <v>-3.09296117168949E-2</v>
      </c>
      <c r="R160" s="104" vm="1210">
        <f ca="1"/>
        <v>45461</v>
      </c>
      <c r="S160" s="104" vm="1214">
        <f ca="1"/>
        <v>502.2</v>
      </c>
      <c r="T160" s="105">
        <f t="shared" ca="1" si="17"/>
        <v>-9.9462900338176397E-4</v>
      </c>
      <c r="V160" s="104" vm="1210">
        <f ca="1"/>
        <v>45461</v>
      </c>
      <c r="W160" s="104" vm="1215">
        <f ca="1"/>
        <v>2793.5403000000001</v>
      </c>
      <c r="X160" s="105">
        <f t="shared" ca="1" si="18"/>
        <v>2.4664700874482914E-2</v>
      </c>
      <c r="Z160" s="104" vm="1210">
        <f ca="1"/>
        <v>45461</v>
      </c>
      <c r="AA160" s="104" vm="1216">
        <f ca="1"/>
        <v>1363.1</v>
      </c>
      <c r="AB160" s="105">
        <f t="shared" ca="1" si="19"/>
        <v>-8.5824423594444976E-3</v>
      </c>
      <c r="AD160" s="104" vm="1210">
        <f ca="1"/>
        <v>45461</v>
      </c>
      <c r="AE160" s="104" vm="1217">
        <f ca="1"/>
        <v>323.7</v>
      </c>
      <c r="AF160" s="105">
        <f t="shared" ca="1" si="20"/>
        <v>-1.5061615700593278E-2</v>
      </c>
    </row>
    <row r="161" spans="2:32" x14ac:dyDescent="0.3">
      <c r="B161" s="104" vm="1218">
        <f ca="1"/>
        <v>45467</v>
      </c>
      <c r="C161" s="104" vm="1219">
        <f ca="1"/>
        <v>2917.05</v>
      </c>
      <c r="D161" s="105">
        <f t="shared" ca="1" si="14"/>
        <v>9.0630783333622844E-3</v>
      </c>
      <c r="F161" s="104" vm="1218">
        <f ca="1"/>
        <v>45467</v>
      </c>
      <c r="G161" s="104" vm="1220">
        <f ca="1"/>
        <v>24010.6</v>
      </c>
      <c r="H161" s="105">
        <f t="shared" ca="1" si="15"/>
        <v>2.1679836262983532E-2</v>
      </c>
      <c r="N161" s="104" vm="1218">
        <f ca="1"/>
        <v>45467</v>
      </c>
      <c r="O161" s="104" vm="1221">
        <f ca="1"/>
        <v>268.69279999999998</v>
      </c>
      <c r="P161" s="105">
        <f t="shared" ca="1" si="16"/>
        <v>-1.4772935193642533E-2</v>
      </c>
      <c r="R161" s="104" vm="1218">
        <f ca="1"/>
        <v>45467</v>
      </c>
      <c r="S161" s="104" vm="1222">
        <f ca="1"/>
        <v>504.2</v>
      </c>
      <c r="T161" s="105">
        <f t="shared" ca="1" si="17"/>
        <v>3.9824771007566095E-3</v>
      </c>
      <c r="V161" s="104" vm="1218">
        <f ca="1"/>
        <v>45467</v>
      </c>
      <c r="W161" s="104" vm="1223">
        <f ca="1"/>
        <v>2714.0448999999999</v>
      </c>
      <c r="X161" s="105">
        <f t="shared" ca="1" si="18"/>
        <v>-2.8456865290255595E-2</v>
      </c>
      <c r="Z161" s="104" vm="1218">
        <f ca="1"/>
        <v>45467</v>
      </c>
      <c r="AA161" s="104" vm="1224">
        <f ca="1"/>
        <v>1373</v>
      </c>
      <c r="AB161" s="105">
        <f t="shared" ca="1" si="19"/>
        <v>7.262856723644795E-3</v>
      </c>
      <c r="AD161" s="104" vm="1218">
        <f ca="1"/>
        <v>45467</v>
      </c>
      <c r="AE161" s="104" vm="1225">
        <f ca="1"/>
        <v>320.64999999999998</v>
      </c>
      <c r="AF161" s="105">
        <f t="shared" ca="1" si="20"/>
        <v>-9.4223046030275093E-3</v>
      </c>
    </row>
    <row r="162" spans="2:32" x14ac:dyDescent="0.3">
      <c r="B162" s="104" vm="1226">
        <f ca="1"/>
        <v>45474</v>
      </c>
      <c r="C162" s="104" vm="1227">
        <f ca="1"/>
        <v>2935.9</v>
      </c>
      <c r="D162" s="105">
        <f t="shared" ca="1" si="14"/>
        <v>6.4620078503967449E-3</v>
      </c>
      <c r="F162" s="104" vm="1226">
        <f ca="1"/>
        <v>45474</v>
      </c>
      <c r="G162" s="104" vm="1228">
        <f ca="1"/>
        <v>24323.85</v>
      </c>
      <c r="H162" s="105">
        <f t="shared" ca="1" si="15"/>
        <v>1.3046321208133094E-2</v>
      </c>
      <c r="N162" s="104" vm="1226">
        <f ca="1"/>
        <v>45474</v>
      </c>
      <c r="O162" s="104" vm="1229">
        <f ca="1"/>
        <v>265.55919999999998</v>
      </c>
      <c r="P162" s="105">
        <f t="shared" ca="1" si="16"/>
        <v>-1.1662389167108267E-2</v>
      </c>
      <c r="R162" s="104" vm="1226">
        <f ca="1"/>
        <v>45474</v>
      </c>
      <c r="S162" s="104" vm="1230">
        <f ca="1"/>
        <v>514.4</v>
      </c>
      <c r="T162" s="105">
        <f t="shared" ca="1" si="17"/>
        <v>2.0230067433558041E-2</v>
      </c>
      <c r="V162" s="104" vm="1226">
        <f ca="1"/>
        <v>45474</v>
      </c>
      <c r="W162" s="104" vm="1231">
        <f ca="1"/>
        <v>2817.9488999999999</v>
      </c>
      <c r="X162" s="105">
        <f t="shared" ca="1" si="18"/>
        <v>3.8283817633230743E-2</v>
      </c>
      <c r="Z162" s="104" vm="1226">
        <f ca="1"/>
        <v>45474</v>
      </c>
      <c r="AA162" s="104" vm="1232">
        <f ca="1"/>
        <v>1399.9</v>
      </c>
      <c r="AB162" s="105">
        <f t="shared" ca="1" si="19"/>
        <v>1.9592134013109996E-2</v>
      </c>
      <c r="AD162" s="104" vm="1226">
        <f ca="1"/>
        <v>45474</v>
      </c>
      <c r="AE162" s="104" vm="1233">
        <f ca="1"/>
        <v>344.65</v>
      </c>
      <c r="AF162" s="105">
        <f t="shared" ca="1" si="20"/>
        <v>7.4847965070949707E-2</v>
      </c>
    </row>
    <row r="163" spans="2:32" x14ac:dyDescent="0.3">
      <c r="B163" s="104" vm="1234">
        <f ca="1"/>
        <v>45481</v>
      </c>
      <c r="C163" s="104" vm="1235">
        <f ca="1"/>
        <v>2999.15</v>
      </c>
      <c r="D163" s="105">
        <f t="shared" ca="1" si="14"/>
        <v>2.1543649306856594E-2</v>
      </c>
      <c r="F163" s="104" vm="1234">
        <f ca="1"/>
        <v>45481</v>
      </c>
      <c r="G163" s="104" vm="1236">
        <f ca="1"/>
        <v>24502.15</v>
      </c>
      <c r="H163" s="105">
        <f t="shared" ca="1" si="15"/>
        <v>7.3302540510651326E-3</v>
      </c>
      <c r="N163" s="104" vm="1234">
        <f ca="1"/>
        <v>45481</v>
      </c>
      <c r="O163" s="104" vm="1237">
        <f ca="1"/>
        <v>276.65109999999999</v>
      </c>
      <c r="P163" s="105">
        <f t="shared" ca="1" si="16"/>
        <v>4.1768087868919723E-2</v>
      </c>
      <c r="R163" s="104" vm="1234">
        <f ca="1"/>
        <v>45481</v>
      </c>
      <c r="S163" s="104" vm="1238">
        <f ca="1"/>
        <v>526</v>
      </c>
      <c r="T163" s="105">
        <f t="shared" ca="1" si="17"/>
        <v>2.255054432348369E-2</v>
      </c>
      <c r="V163" s="104" vm="1234">
        <f ca="1"/>
        <v>45481</v>
      </c>
      <c r="W163" s="104" vm="1239">
        <f ca="1"/>
        <v>2761.5219999999999</v>
      </c>
      <c r="X163" s="105">
        <f t="shared" ca="1" si="18"/>
        <v>-2.002410334694138E-2</v>
      </c>
      <c r="Z163" s="104" vm="1234">
        <f ca="1"/>
        <v>45481</v>
      </c>
      <c r="AA163" s="104" vm="1240">
        <f ca="1"/>
        <v>1520.85</v>
      </c>
      <c r="AB163" s="105">
        <f t="shared" ca="1" si="19"/>
        <v>8.6399028502035735E-2</v>
      </c>
      <c r="AD163" s="104" vm="1234">
        <f ca="1"/>
        <v>45481</v>
      </c>
      <c r="AE163" s="104" vm="1241">
        <f ca="1"/>
        <v>338.8</v>
      </c>
      <c r="AF163" s="105">
        <f t="shared" ca="1" si="20"/>
        <v>-1.6973741476860482E-2</v>
      </c>
    </row>
    <row r="164" spans="2:32" x14ac:dyDescent="0.3">
      <c r="B164" s="104" vm="1242">
        <f ca="1"/>
        <v>45488</v>
      </c>
      <c r="C164" s="104" vm="1243">
        <f ca="1"/>
        <v>2946.05</v>
      </c>
      <c r="D164" s="105">
        <f t="shared" ca="1" si="14"/>
        <v>-1.7705016421319386E-2</v>
      </c>
      <c r="F164" s="104" vm="1242">
        <f ca="1"/>
        <v>45488</v>
      </c>
      <c r="G164" s="104" vm="1244">
        <f ca="1"/>
        <v>24530.9</v>
      </c>
      <c r="H164" s="105">
        <f t="shared" ca="1" si="15"/>
        <v>1.1733664188653403E-3</v>
      </c>
      <c r="N164" s="104" vm="1242">
        <f ca="1"/>
        <v>45488</v>
      </c>
      <c r="O164" s="104" vm="1245">
        <f ca="1"/>
        <v>270.08550000000002</v>
      </c>
      <c r="P164" s="105">
        <f t="shared" ca="1" si="16"/>
        <v>-2.373241964337014E-2</v>
      </c>
      <c r="R164" s="104" vm="1242">
        <f ca="1"/>
        <v>45488</v>
      </c>
      <c r="S164" s="104" vm="1246">
        <f ca="1"/>
        <v>523.75</v>
      </c>
      <c r="T164" s="105">
        <f t="shared" ca="1" si="17"/>
        <v>-4.2775665399239493E-3</v>
      </c>
      <c r="V164" s="104" vm="1242">
        <f ca="1"/>
        <v>45488</v>
      </c>
      <c r="W164" s="104" vm="1247">
        <f ca="1"/>
        <v>2719.9317000000001</v>
      </c>
      <c r="X164" s="105">
        <f t="shared" ca="1" si="18"/>
        <v>-1.5060644094090136E-2</v>
      </c>
      <c r="Z164" s="104" vm="1242">
        <f ca="1"/>
        <v>45488</v>
      </c>
      <c r="AA164" s="104" vm="1248">
        <f ca="1"/>
        <v>1452.8</v>
      </c>
      <c r="AB164" s="105">
        <f t="shared" ca="1" si="19"/>
        <v>-4.474471512640954E-2</v>
      </c>
      <c r="AD164" s="104" vm="1242">
        <f ca="1"/>
        <v>45488</v>
      </c>
      <c r="AE164" s="104" vm="1249">
        <f ca="1"/>
        <v>357.85</v>
      </c>
      <c r="AF164" s="105">
        <f t="shared" ca="1" si="20"/>
        <v>5.6227863046044879E-2</v>
      </c>
    </row>
    <row r="165" spans="2:32" x14ac:dyDescent="0.3">
      <c r="B165" s="104" vm="1250">
        <f ca="1"/>
        <v>45495</v>
      </c>
      <c r="C165" s="104" vm="1251">
        <f ca="1"/>
        <v>2950.15</v>
      </c>
      <c r="D165" s="105">
        <f t="shared" ca="1" si="14"/>
        <v>1.3916939631031244E-3</v>
      </c>
      <c r="F165" s="104" vm="1250">
        <f ca="1"/>
        <v>45495</v>
      </c>
      <c r="G165" s="104" vm="1252">
        <f ca="1"/>
        <v>24834.85</v>
      </c>
      <c r="H165" s="105">
        <f t="shared" ca="1" si="15"/>
        <v>1.2390495252925682E-2</v>
      </c>
      <c r="N165" s="104" vm="1250">
        <f ca="1"/>
        <v>45495</v>
      </c>
      <c r="O165" s="104" vm="1253">
        <f ca="1"/>
        <v>273.8657</v>
      </c>
      <c r="P165" s="105">
        <f t="shared" ca="1" si="16"/>
        <v>1.3996308576358141E-2</v>
      </c>
      <c r="R165" s="104" vm="1250">
        <f ca="1"/>
        <v>45495</v>
      </c>
      <c r="S165" s="104" vm="1254">
        <f ca="1"/>
        <v>542.4</v>
      </c>
      <c r="T165" s="105">
        <f t="shared" ca="1" si="17"/>
        <v>3.560859188544141E-2</v>
      </c>
      <c r="V165" s="104" vm="1250">
        <f ca="1"/>
        <v>45495</v>
      </c>
      <c r="W165" s="104" vm="1255">
        <f ca="1"/>
        <v>2749.4612999999999</v>
      </c>
      <c r="X165" s="105">
        <f t="shared" ca="1" si="18"/>
        <v>1.0856743204250341E-2</v>
      </c>
      <c r="Z165" s="104" vm="1250">
        <f ca="1"/>
        <v>45495</v>
      </c>
      <c r="AA165" s="104" vm="1256">
        <f ca="1"/>
        <v>1491.95</v>
      </c>
      <c r="AB165" s="105">
        <f t="shared" ca="1" si="19"/>
        <v>2.6947962555066152E-2</v>
      </c>
      <c r="AD165" s="104" vm="1250">
        <f ca="1"/>
        <v>45495</v>
      </c>
      <c r="AE165" s="104" vm="1257">
        <f ca="1"/>
        <v>351.95</v>
      </c>
      <c r="AF165" s="105">
        <f t="shared" ca="1" si="20"/>
        <v>-1.6487355037026807E-2</v>
      </c>
    </row>
    <row r="166" spans="2:32" x14ac:dyDescent="0.3">
      <c r="B166" s="104" vm="1258">
        <f ca="1"/>
        <v>45502</v>
      </c>
      <c r="C166" s="104" vm="1259">
        <f ca="1"/>
        <v>3106.7</v>
      </c>
      <c r="D166" s="105">
        <f t="shared" ca="1" si="14"/>
        <v>5.3065098384827758E-2</v>
      </c>
      <c r="F166" s="104" vm="1258">
        <f ca="1"/>
        <v>45502</v>
      </c>
      <c r="G166" s="104" vm="1260">
        <f ca="1"/>
        <v>24717.7</v>
      </c>
      <c r="H166" s="105">
        <f t="shared" ca="1" si="15"/>
        <v>-4.7171615693268887E-3</v>
      </c>
      <c r="N166" s="104" vm="1258">
        <f ca="1"/>
        <v>45502</v>
      </c>
      <c r="O166" s="104" vm="1261">
        <f ca="1"/>
        <v>301.02350000000001</v>
      </c>
      <c r="P166" s="105">
        <f t="shared" ca="1" si="16"/>
        <v>9.916466355589626E-2</v>
      </c>
      <c r="R166" s="104" vm="1258">
        <f ca="1"/>
        <v>45502</v>
      </c>
      <c r="S166" s="104" vm="1262">
        <f ca="1"/>
        <v>550.25</v>
      </c>
      <c r="T166" s="105">
        <f t="shared" ca="1" si="17"/>
        <v>1.4472713864306819E-2</v>
      </c>
      <c r="V166" s="104" vm="1258">
        <f ca="1"/>
        <v>45502</v>
      </c>
      <c r="W166" s="104" vm="1263">
        <f ca="1"/>
        <v>2984.0709999999999</v>
      </c>
      <c r="X166" s="105">
        <f t="shared" ca="1" si="18"/>
        <v>8.5329333422514475E-2</v>
      </c>
      <c r="Z166" s="104" vm="1258">
        <f ca="1"/>
        <v>45502</v>
      </c>
      <c r="AA166" s="104" vm="1264">
        <f ca="1"/>
        <v>1481</v>
      </c>
      <c r="AB166" s="105">
        <f t="shared" ca="1" si="19"/>
        <v>-7.3393880491974262E-3</v>
      </c>
      <c r="AD166" s="104" vm="1258">
        <f ca="1"/>
        <v>45502</v>
      </c>
      <c r="AE166" s="104" vm="1265">
        <f ca="1"/>
        <v>360.7</v>
      </c>
      <c r="AF166" s="105">
        <f t="shared" ca="1" si="20"/>
        <v>2.4861486006535038E-2</v>
      </c>
    </row>
    <row r="167" spans="2:32" x14ac:dyDescent="0.3">
      <c r="B167" s="104" vm="1266">
        <f ca="1"/>
        <v>45509</v>
      </c>
      <c r="C167" s="104" vm="1267">
        <f ca="1"/>
        <v>3040.6</v>
      </c>
      <c r="D167" s="105">
        <f t="shared" ca="1" si="14"/>
        <v>-2.1276595744680771E-2</v>
      </c>
      <c r="F167" s="104" vm="1266">
        <f ca="1"/>
        <v>45509</v>
      </c>
      <c r="G167" s="104" vm="1268">
        <f ca="1"/>
        <v>24367.5</v>
      </c>
      <c r="H167" s="105">
        <f t="shared" ca="1" si="15"/>
        <v>-1.4167984885325113E-2</v>
      </c>
      <c r="N167" s="104" vm="1266">
        <f ca="1"/>
        <v>45509</v>
      </c>
      <c r="O167" s="104" vm="1269">
        <f ca="1"/>
        <v>292.16980000000001</v>
      </c>
      <c r="P167" s="105">
        <f t="shared" ca="1" si="16"/>
        <v>-2.9411989429396712E-2</v>
      </c>
      <c r="R167" s="104" vm="1266">
        <f ca="1"/>
        <v>45509</v>
      </c>
      <c r="S167" s="104" vm="1270">
        <f ca="1"/>
        <v>531.65</v>
      </c>
      <c r="T167" s="105">
        <f t="shared" ca="1" si="17"/>
        <v>-3.3802816901408517E-2</v>
      </c>
      <c r="V167" s="104" vm="1266">
        <f ca="1"/>
        <v>45509</v>
      </c>
      <c r="W167" s="104" vm="1271">
        <f ca="1"/>
        <v>3201.4989999999998</v>
      </c>
      <c r="X167" s="105">
        <f t="shared" ca="1" si="18"/>
        <v>7.286287759238963E-2</v>
      </c>
      <c r="Z167" s="104" vm="1266">
        <f ca="1"/>
        <v>45509</v>
      </c>
      <c r="AA167" s="104" vm="1272">
        <f ca="1"/>
        <v>1422.45</v>
      </c>
      <c r="AB167" s="105">
        <f t="shared" ca="1" si="19"/>
        <v>-3.9534098582039157E-2</v>
      </c>
      <c r="AD167" s="104" vm="1266">
        <f ca="1"/>
        <v>45509</v>
      </c>
      <c r="AE167" s="104" vm="1273">
        <f ca="1"/>
        <v>343.35</v>
      </c>
      <c r="AF167" s="105">
        <f t="shared" ca="1" si="20"/>
        <v>-4.8100914887718282E-2</v>
      </c>
    </row>
    <row r="168" spans="2:32" x14ac:dyDescent="0.3">
      <c r="B168" s="104" vm="1274">
        <f ca="1"/>
        <v>45516</v>
      </c>
      <c r="C168" s="104" vm="1275">
        <f ca="1"/>
        <v>3048.15</v>
      </c>
      <c r="D168" s="105">
        <f t="shared" ca="1" si="14"/>
        <v>2.4830625534435491E-3</v>
      </c>
      <c r="F168" s="104" vm="1274">
        <f ca="1"/>
        <v>45516</v>
      </c>
      <c r="G168" s="104" vm="1276">
        <f ca="1"/>
        <v>24541.15</v>
      </c>
      <c r="H168" s="105">
        <f t="shared" ca="1" si="15"/>
        <v>7.1262952703396998E-3</v>
      </c>
      <c r="N168" s="104" vm="1274">
        <f ca="1"/>
        <v>45516</v>
      </c>
      <c r="O168" s="104" vm="1277">
        <f ca="1"/>
        <v>288.58859999999999</v>
      </c>
      <c r="P168" s="105">
        <f t="shared" ca="1" si="16"/>
        <v>-1.2257255883393881E-2</v>
      </c>
      <c r="R168" s="104" vm="1274">
        <f ca="1"/>
        <v>45516</v>
      </c>
      <c r="S168" s="104" vm="1278">
        <f ca="1"/>
        <v>549.9</v>
      </c>
      <c r="T168" s="105">
        <f t="shared" ca="1" si="17"/>
        <v>3.4327094893256804E-2</v>
      </c>
      <c r="V168" s="104" vm="1274">
        <f ca="1"/>
        <v>45516</v>
      </c>
      <c r="W168" s="104" vm="1279">
        <f ca="1"/>
        <v>3052.7022000000002</v>
      </c>
      <c r="X168" s="105">
        <f t="shared" ca="1" si="18"/>
        <v>-4.6477228323357211E-2</v>
      </c>
      <c r="Z168" s="104" vm="1274">
        <f ca="1"/>
        <v>45516</v>
      </c>
      <c r="AA168" s="104" vm="1280">
        <f ca="1"/>
        <v>1435.35</v>
      </c>
      <c r="AB168" s="105">
        <f t="shared" ca="1" si="19"/>
        <v>9.0688600653801021E-3</v>
      </c>
      <c r="AD168" s="104" vm="1274">
        <f ca="1"/>
        <v>45516</v>
      </c>
      <c r="AE168" s="104" vm="1281">
        <f ca="1"/>
        <v>325.39999999999998</v>
      </c>
      <c r="AF168" s="105">
        <f t="shared" ca="1" si="20"/>
        <v>-5.2279015581767951E-2</v>
      </c>
    </row>
    <row r="169" spans="2:32" x14ac:dyDescent="0.3">
      <c r="B169" s="104" vm="1282">
        <f ca="1"/>
        <v>45523</v>
      </c>
      <c r="C169" s="104" vm="1283">
        <f ca="1"/>
        <v>3154.65</v>
      </c>
      <c r="D169" s="105">
        <f t="shared" ca="1" si="14"/>
        <v>3.4939225431819265E-2</v>
      </c>
      <c r="F169" s="104" vm="1282">
        <f ca="1"/>
        <v>45523</v>
      </c>
      <c r="G169" s="104" vm="1284">
        <f ca="1"/>
        <v>24823.15</v>
      </c>
      <c r="H169" s="105">
        <f t="shared" ca="1" si="15"/>
        <v>1.1490904052988471E-2</v>
      </c>
      <c r="N169" s="104" vm="1282">
        <f ca="1"/>
        <v>45523</v>
      </c>
      <c r="O169" s="104" vm="1285">
        <f ca="1"/>
        <v>292.76670000000001</v>
      </c>
      <c r="P169" s="105">
        <f t="shared" ca="1" si="16"/>
        <v>1.4477702861443786E-2</v>
      </c>
      <c r="R169" s="104" vm="1282">
        <f ca="1"/>
        <v>45523</v>
      </c>
      <c r="S169" s="104" vm="1286">
        <f ca="1"/>
        <v>565.70000000000005</v>
      </c>
      <c r="T169" s="105">
        <f t="shared" ca="1" si="17"/>
        <v>2.8732496817603259E-2</v>
      </c>
      <c r="V169" s="104" vm="1282">
        <f ca="1"/>
        <v>45523</v>
      </c>
      <c r="W169" s="104" vm="1287">
        <f ca="1"/>
        <v>3131.5754999999999</v>
      </c>
      <c r="X169" s="105">
        <f t="shared" ca="1" si="18"/>
        <v>2.5837207441983701E-2</v>
      </c>
      <c r="Z169" s="104" vm="1282">
        <f ca="1"/>
        <v>45523</v>
      </c>
      <c r="AA169" s="104" vm="1288">
        <f ca="1"/>
        <v>1449.4</v>
      </c>
      <c r="AB169" s="105">
        <f t="shared" ca="1" si="19"/>
        <v>9.7885533145227743E-3</v>
      </c>
      <c r="AD169" s="104" vm="1282">
        <f ca="1"/>
        <v>45523</v>
      </c>
      <c r="AE169" s="104" vm="1289">
        <f ca="1"/>
        <v>336.95</v>
      </c>
      <c r="AF169" s="105">
        <f t="shared" ca="1" si="20"/>
        <v>3.5494775660725342E-2</v>
      </c>
    </row>
    <row r="170" spans="2:32" x14ac:dyDescent="0.3">
      <c r="B170" s="104" vm="1290">
        <f ca="1"/>
        <v>45530</v>
      </c>
      <c r="C170" s="104" vm="1291">
        <f ca="1"/>
        <v>3126.8</v>
      </c>
      <c r="D170" s="105">
        <f t="shared" ca="1" si="14"/>
        <v>-8.8282376808836993E-3</v>
      </c>
      <c r="F170" s="104" vm="1290">
        <f ca="1"/>
        <v>45530</v>
      </c>
      <c r="G170" s="104" vm="1292">
        <f ca="1"/>
        <v>25235.9</v>
      </c>
      <c r="H170" s="105">
        <f t="shared" ca="1" si="15"/>
        <v>1.6627623810837822E-2</v>
      </c>
      <c r="N170" s="104" vm="1290">
        <f ca="1"/>
        <v>45530</v>
      </c>
      <c r="O170" s="104" vm="1293">
        <f ca="1"/>
        <v>294.95519999999999</v>
      </c>
      <c r="P170" s="105">
        <f t="shared" ca="1" si="16"/>
        <v>7.4752354007472377E-3</v>
      </c>
      <c r="R170" s="104" vm="1290">
        <f ca="1"/>
        <v>45530</v>
      </c>
      <c r="S170" s="104" vm="1294">
        <f ca="1"/>
        <v>571.04999999999995</v>
      </c>
      <c r="T170" s="105">
        <f t="shared" ca="1" si="17"/>
        <v>9.4573095280181541E-3</v>
      </c>
      <c r="V170" s="104" vm="1290">
        <f ca="1"/>
        <v>45530</v>
      </c>
      <c r="W170" s="104" vm="1295">
        <f ca="1"/>
        <v>3316.8416000000002</v>
      </c>
      <c r="X170" s="105">
        <f t="shared" ca="1" si="18"/>
        <v>5.9160668487794776E-2</v>
      </c>
      <c r="Z170" s="104" vm="1290">
        <f ca="1"/>
        <v>45530</v>
      </c>
      <c r="AA170" s="104" vm="1296">
        <f ca="1"/>
        <v>1450.5</v>
      </c>
      <c r="AB170" s="105">
        <f t="shared" ca="1" si="19"/>
        <v>7.5893473161303682E-4</v>
      </c>
      <c r="AD170" s="104" vm="1290">
        <f ca="1"/>
        <v>45530</v>
      </c>
      <c r="AE170" s="104" vm="1297">
        <f ca="1"/>
        <v>321.64999999999998</v>
      </c>
      <c r="AF170" s="105">
        <f t="shared" ca="1" si="20"/>
        <v>-4.540733046446066E-2</v>
      </c>
    </row>
    <row r="171" spans="2:32" x14ac:dyDescent="0.3">
      <c r="B171" s="104" vm="1298">
        <f ca="1"/>
        <v>45537</v>
      </c>
      <c r="C171" s="104" vm="1299">
        <f ca="1"/>
        <v>3273.7</v>
      </c>
      <c r="D171" s="105">
        <f t="shared" ca="1" si="14"/>
        <v>4.698093897914779E-2</v>
      </c>
      <c r="F171" s="104" vm="1298">
        <f ca="1"/>
        <v>45537</v>
      </c>
      <c r="G171" s="104" vm="1300">
        <f ca="1"/>
        <v>24852.15</v>
      </c>
      <c r="H171" s="105">
        <f t="shared" ca="1" si="15"/>
        <v>-1.5206511358818231E-2</v>
      </c>
      <c r="N171" s="104" vm="1298">
        <f ca="1"/>
        <v>45537</v>
      </c>
      <c r="O171" s="104" vm="1301">
        <f ca="1"/>
        <v>304.45549999999997</v>
      </c>
      <c r="P171" s="105">
        <f t="shared" ca="1" si="16"/>
        <v>3.2209298225628791E-2</v>
      </c>
      <c r="R171" s="104" vm="1298">
        <f ca="1"/>
        <v>45537</v>
      </c>
      <c r="S171" s="104" vm="1302">
        <f ca="1"/>
        <v>596.29999999999995</v>
      </c>
      <c r="T171" s="105">
        <f t="shared" ca="1" si="17"/>
        <v>4.4216793625777129E-2</v>
      </c>
      <c r="V171" s="104" vm="1298">
        <f ca="1"/>
        <v>45537</v>
      </c>
      <c r="W171" s="104" vm="1303">
        <f ca="1"/>
        <v>3608.9789999999998</v>
      </c>
      <c r="X171" s="105">
        <f t="shared" ca="1" si="18"/>
        <v>8.8076982633116918E-2</v>
      </c>
      <c r="Z171" s="104" vm="1298">
        <f ca="1"/>
        <v>45537</v>
      </c>
      <c r="AA171" s="104" vm="1304">
        <f ca="1"/>
        <v>1479.35</v>
      </c>
      <c r="AB171" s="105">
        <f t="shared" ca="1" si="19"/>
        <v>1.9889693209238057E-2</v>
      </c>
      <c r="AD171" s="104" vm="1298">
        <f ca="1"/>
        <v>45537</v>
      </c>
      <c r="AE171" s="104" vm="1305">
        <f ca="1"/>
        <v>333.7</v>
      </c>
      <c r="AF171" s="105">
        <f t="shared" ca="1" si="20"/>
        <v>3.7463080988652253E-2</v>
      </c>
    </row>
    <row r="172" spans="2:32" x14ac:dyDescent="0.3">
      <c r="B172" s="104" vm="1306">
        <f ca="1"/>
        <v>45544</v>
      </c>
      <c r="C172" s="104" vm="1307">
        <f ca="1"/>
        <v>3358.05</v>
      </c>
      <c r="D172" s="105">
        <f t="shared" ca="1" si="14"/>
        <v>2.57659528973333E-2</v>
      </c>
      <c r="F172" s="104" vm="1306">
        <f ca="1"/>
        <v>45544</v>
      </c>
      <c r="G172" s="104" vm="1308">
        <f ca="1"/>
        <v>25356.5</v>
      </c>
      <c r="H172" s="105">
        <f t="shared" ca="1" si="15"/>
        <v>2.0294018827344829E-2</v>
      </c>
      <c r="N172" s="104" vm="1306">
        <f ca="1"/>
        <v>45544</v>
      </c>
      <c r="O172" s="104" vm="1309">
        <f ca="1"/>
        <v>309.77760000000001</v>
      </c>
      <c r="P172" s="105">
        <f t="shared" ca="1" si="16"/>
        <v>1.748071557255515E-2</v>
      </c>
      <c r="R172" s="104" vm="1306">
        <f ca="1"/>
        <v>45544</v>
      </c>
      <c r="S172" s="104" vm="1310">
        <f ca="1"/>
        <v>622.65</v>
      </c>
      <c r="T172" s="105">
        <f t="shared" ca="1" si="17"/>
        <v>4.4189166526916068E-2</v>
      </c>
      <c r="V172" s="104" vm="1306">
        <f ca="1"/>
        <v>45544</v>
      </c>
      <c r="W172" s="104" vm="1311">
        <f ca="1"/>
        <v>3532.5945000000002</v>
      </c>
      <c r="X172" s="105">
        <f t="shared" ca="1" si="18"/>
        <v>-2.1165127311630116E-2</v>
      </c>
      <c r="Z172" s="104" vm="1306">
        <f ca="1"/>
        <v>45544</v>
      </c>
      <c r="AA172" s="104" vm="1312">
        <f ca="1"/>
        <v>1502.15</v>
      </c>
      <c r="AB172" s="105">
        <f t="shared" ca="1" si="19"/>
        <v>1.5412174265724943E-2</v>
      </c>
      <c r="AD172" s="104" vm="1306">
        <f ca="1"/>
        <v>45544</v>
      </c>
      <c r="AE172" s="104" vm="1313">
        <f ca="1"/>
        <v>350.9</v>
      </c>
      <c r="AF172" s="105">
        <f t="shared" ca="1" si="20"/>
        <v>5.1543302367395905E-2</v>
      </c>
    </row>
    <row r="173" spans="2:32" x14ac:dyDescent="0.3">
      <c r="B173" s="104" vm="1314">
        <f ca="1"/>
        <v>45551</v>
      </c>
      <c r="C173" s="104" vm="1315">
        <f ca="1"/>
        <v>3306.95</v>
      </c>
      <c r="D173" s="105">
        <f t="shared" ca="1" si="14"/>
        <v>-1.5217164723574816E-2</v>
      </c>
      <c r="F173" s="104" vm="1314">
        <f ca="1"/>
        <v>45551</v>
      </c>
      <c r="G173" s="104" vm="1316">
        <f ca="1"/>
        <v>25790.95</v>
      </c>
      <c r="H173" s="105">
        <f t="shared" ca="1" si="15"/>
        <v>1.7133673811448702E-2</v>
      </c>
      <c r="N173" s="104" vm="1314">
        <f ca="1"/>
        <v>45551</v>
      </c>
      <c r="O173" s="104" vm="1317">
        <f ca="1"/>
        <v>300.57580000000002</v>
      </c>
      <c r="P173" s="105">
        <f t="shared" ca="1" si="16"/>
        <v>-2.970453641580284E-2</v>
      </c>
      <c r="R173" s="104" vm="1314">
        <f ca="1"/>
        <v>45551</v>
      </c>
      <c r="S173" s="104" vm="1318">
        <f ca="1"/>
        <v>622.85</v>
      </c>
      <c r="T173" s="105">
        <f t="shared" ca="1" si="17"/>
        <v>3.2120774110655503E-4</v>
      </c>
      <c r="V173" s="104" vm="1314">
        <f ca="1"/>
        <v>45551</v>
      </c>
      <c r="W173" s="104" vm="1319">
        <f ca="1"/>
        <v>3548.3883000000001</v>
      </c>
      <c r="X173" s="105">
        <f t="shared" ca="1" si="18"/>
        <v>4.470878273744594E-3</v>
      </c>
      <c r="Z173" s="104" vm="1314">
        <f ca="1"/>
        <v>45551</v>
      </c>
      <c r="AA173" s="104" vm="1320">
        <f ca="1"/>
        <v>1481.3</v>
      </c>
      <c r="AB173" s="105">
        <f t="shared" ca="1" si="19"/>
        <v>-1.3880105182571767E-2</v>
      </c>
      <c r="AD173" s="104" vm="1314">
        <f ca="1"/>
        <v>45551</v>
      </c>
      <c r="AE173" s="104" vm="1321">
        <f ca="1"/>
        <v>348.1</v>
      </c>
      <c r="AF173" s="105">
        <f t="shared" ca="1" si="20"/>
        <v>-7.9794813337131787E-3</v>
      </c>
    </row>
    <row r="174" spans="2:32" x14ac:dyDescent="0.3">
      <c r="B174" s="104" vm="1322">
        <f ca="1"/>
        <v>45558</v>
      </c>
      <c r="C174" s="104" vm="1323">
        <f ca="1"/>
        <v>3310.75</v>
      </c>
      <c r="D174" s="105">
        <f t="shared" ca="1" si="14"/>
        <v>1.1490950876185124E-3</v>
      </c>
      <c r="F174" s="104" vm="1322">
        <f ca="1"/>
        <v>45558</v>
      </c>
      <c r="G174" s="104" vm="1324">
        <f ca="1"/>
        <v>26178.95</v>
      </c>
      <c r="H174" s="105">
        <f t="shared" ca="1" si="15"/>
        <v>1.5044036764834123E-2</v>
      </c>
      <c r="N174" s="104" vm="1322">
        <f ca="1"/>
        <v>45558</v>
      </c>
      <c r="O174" s="104" vm="1325">
        <f ca="1"/>
        <v>307.73829999999998</v>
      </c>
      <c r="P174" s="105">
        <f t="shared" ca="1" si="16"/>
        <v>2.3829263699872039E-2</v>
      </c>
      <c r="R174" s="104" vm="1322">
        <f ca="1"/>
        <v>45558</v>
      </c>
      <c r="S174" s="104" vm="1326">
        <f ca="1"/>
        <v>617.54999999999995</v>
      </c>
      <c r="T174" s="105">
        <f t="shared" ca="1" si="17"/>
        <v>-8.5092718953200253E-3</v>
      </c>
      <c r="V174" s="104" vm="1322">
        <f ca="1"/>
        <v>45558</v>
      </c>
      <c r="W174" s="104" vm="1327">
        <f ca="1"/>
        <v>3620.944</v>
      </c>
      <c r="X174" s="105">
        <f t="shared" ca="1" si="18"/>
        <v>2.0447508520981206E-2</v>
      </c>
      <c r="Z174" s="104" vm="1322">
        <f ca="1"/>
        <v>45558</v>
      </c>
      <c r="AA174" s="104" vm="1328">
        <f ca="1"/>
        <v>1471.5</v>
      </c>
      <c r="AB174" s="105">
        <f t="shared" ca="1" si="19"/>
        <v>-6.615810436778502E-3</v>
      </c>
      <c r="AD174" s="104" vm="1322">
        <f ca="1"/>
        <v>45558</v>
      </c>
      <c r="AE174" s="104" vm="1329">
        <f ca="1"/>
        <v>342.55</v>
      </c>
      <c r="AF174" s="105">
        <f t="shared" ca="1" si="20"/>
        <v>-1.5943694340706749E-2</v>
      </c>
    </row>
    <row r="175" spans="2:32" x14ac:dyDescent="0.3">
      <c r="B175" s="104" vm="1330">
        <f ca="1"/>
        <v>45565</v>
      </c>
      <c r="C175" s="104" vm="1331">
        <f ca="1"/>
        <v>3072.5</v>
      </c>
      <c r="D175" s="105">
        <f t="shared" ca="1" si="14"/>
        <v>-7.1962546250849524E-2</v>
      </c>
      <c r="F175" s="104" vm="1330">
        <f ca="1"/>
        <v>45565</v>
      </c>
      <c r="G175" s="104" vm="1332">
        <f ca="1"/>
        <v>25014.6</v>
      </c>
      <c r="H175" s="105">
        <f t="shared" ca="1" si="15"/>
        <v>-4.4476573735768743E-2</v>
      </c>
      <c r="N175" s="104" vm="1330">
        <f ca="1"/>
        <v>45565</v>
      </c>
      <c r="O175" s="104" vm="1333">
        <f ca="1"/>
        <v>290.57819999999998</v>
      </c>
      <c r="P175" s="105">
        <f t="shared" ca="1" si="16"/>
        <v>-5.5761989976548243E-2</v>
      </c>
      <c r="R175" s="104" vm="1330">
        <f ca="1"/>
        <v>45565</v>
      </c>
      <c r="S175" s="104" vm="1334">
        <f ca="1"/>
        <v>576.95000000000005</v>
      </c>
      <c r="T175" s="105">
        <f t="shared" ca="1" si="17"/>
        <v>-6.5743664480608754E-2</v>
      </c>
      <c r="V175" s="104" vm="1330">
        <f ca="1"/>
        <v>45565</v>
      </c>
      <c r="W175" s="104" vm="1335">
        <f ca="1"/>
        <v>3657.174</v>
      </c>
      <c r="X175" s="105">
        <f t="shared" ca="1" si="18"/>
        <v>1.0005678077319002E-2</v>
      </c>
      <c r="Z175" s="104" vm="1330">
        <f ca="1"/>
        <v>45565</v>
      </c>
      <c r="AA175" s="104" vm="785">
        <f ca="1"/>
        <v>1460.45</v>
      </c>
      <c r="AB175" s="105">
        <f t="shared" ca="1" si="19"/>
        <v>-7.5093442065918836E-3</v>
      </c>
      <c r="AD175" s="104" vm="1330">
        <f ca="1"/>
        <v>45565</v>
      </c>
      <c r="AE175" s="104" vm="1336">
        <f ca="1"/>
        <v>333.85</v>
      </c>
      <c r="AF175" s="105">
        <f t="shared" ca="1" si="20"/>
        <v>-2.5397752152970354E-2</v>
      </c>
    </row>
    <row r="176" spans="2:32" x14ac:dyDescent="0.3">
      <c r="B176" s="104" vm="1337">
        <f ca="1"/>
        <v>45572</v>
      </c>
      <c r="C176" s="104" vm="1338">
        <f ca="1"/>
        <v>3037.2</v>
      </c>
      <c r="D176" s="105">
        <f t="shared" ca="1" si="14"/>
        <v>-1.1489015459723362E-2</v>
      </c>
      <c r="F176" s="104" vm="1337">
        <f ca="1"/>
        <v>45572</v>
      </c>
      <c r="G176" s="104" vm="1339">
        <f ca="1"/>
        <v>24964.25</v>
      </c>
      <c r="H176" s="105">
        <f t="shared" ca="1" si="15"/>
        <v>-2.0128245104857889E-3</v>
      </c>
      <c r="N176" s="104" vm="1337">
        <f ca="1"/>
        <v>45572</v>
      </c>
      <c r="O176" s="104" vm="1340">
        <f ca="1"/>
        <v>287.24560000000002</v>
      </c>
      <c r="P176" s="105">
        <f t="shared" ca="1" si="16"/>
        <v>-1.146885760872618E-2</v>
      </c>
      <c r="R176" s="104" vm="1337">
        <f ca="1"/>
        <v>45572</v>
      </c>
      <c r="S176" s="104" vm="1341">
        <f ca="1"/>
        <v>571.54999999999995</v>
      </c>
      <c r="T176" s="105">
        <f t="shared" ca="1" si="17"/>
        <v>-9.3595632203832269E-3</v>
      </c>
      <c r="V176" s="104" vm="1337">
        <f ca="1"/>
        <v>45572</v>
      </c>
      <c r="W176" s="104" vm="1342">
        <f ca="1"/>
        <v>3946.4398999999999</v>
      </c>
      <c r="X176" s="105">
        <f t="shared" ca="1" si="18"/>
        <v>7.9095470983879812E-2</v>
      </c>
      <c r="Z176" s="104" vm="1337">
        <f ca="1"/>
        <v>45572</v>
      </c>
      <c r="AA176" s="104" vm="1343">
        <f ca="1"/>
        <v>1481.9</v>
      </c>
      <c r="AB176" s="105">
        <f t="shared" ca="1" si="19"/>
        <v>1.468725392858361E-2</v>
      </c>
      <c r="AD176" s="104" vm="1337">
        <f ca="1"/>
        <v>45572</v>
      </c>
      <c r="AE176" s="104" vm="1344">
        <f ca="1"/>
        <v>332.2</v>
      </c>
      <c r="AF176" s="105">
        <f t="shared" ca="1" si="20"/>
        <v>-4.9423393739704835E-3</v>
      </c>
    </row>
    <row r="177" spans="2:32" x14ac:dyDescent="0.3">
      <c r="B177" s="104" vm="1345">
        <f ca="1"/>
        <v>45579</v>
      </c>
      <c r="C177" s="104" vm="1346">
        <f ca="1"/>
        <v>2992.15</v>
      </c>
      <c r="D177" s="105">
        <f t="shared" ca="1" si="14"/>
        <v>-1.4832740682207191E-2</v>
      </c>
      <c r="F177" s="104" vm="1345">
        <f ca="1"/>
        <v>45579</v>
      </c>
      <c r="G177" s="104" vm="1347">
        <f ca="1"/>
        <v>24854.05</v>
      </c>
      <c r="H177" s="105">
        <f t="shared" ca="1" si="15"/>
        <v>-4.4143124668275524E-3</v>
      </c>
      <c r="N177" s="104" vm="1345">
        <f ca="1"/>
        <v>45579</v>
      </c>
      <c r="O177" s="104" vm="1348">
        <f ca="1"/>
        <v>285.55450000000002</v>
      </c>
      <c r="P177" s="105">
        <f t="shared" ca="1" si="16"/>
        <v>-5.8872964459681931E-3</v>
      </c>
      <c r="R177" s="104" vm="1345">
        <f ca="1"/>
        <v>45579</v>
      </c>
      <c r="S177" s="104" vm="1349">
        <f ca="1"/>
        <v>556.35</v>
      </c>
      <c r="T177" s="105">
        <f t="shared" ca="1" si="17"/>
        <v>-2.6594348700900938E-2</v>
      </c>
      <c r="V177" s="104" vm="1345">
        <f ca="1"/>
        <v>45579</v>
      </c>
      <c r="W177" s="104" vm="1350">
        <f ca="1"/>
        <v>3743.4656</v>
      </c>
      <c r="X177" s="105">
        <f t="shared" ca="1" si="18"/>
        <v>-5.1432254169130998E-2</v>
      </c>
      <c r="Z177" s="104" vm="1345">
        <f ca="1"/>
        <v>45579</v>
      </c>
      <c r="AA177" s="104" vm="1351">
        <f ca="1"/>
        <v>1566.9</v>
      </c>
      <c r="AB177" s="105">
        <f t="shared" ca="1" si="19"/>
        <v>5.7358796140090318E-2</v>
      </c>
      <c r="AD177" s="104" vm="1345">
        <f ca="1"/>
        <v>45579</v>
      </c>
      <c r="AE177" s="104" vm="1352">
        <f ca="1"/>
        <v>326.75</v>
      </c>
      <c r="AF177" s="105">
        <f t="shared" ca="1" si="20"/>
        <v>-1.6405779650812691E-2</v>
      </c>
    </row>
    <row r="178" spans="2:32" x14ac:dyDescent="0.3">
      <c r="B178" s="104" vm="1353">
        <f ca="1"/>
        <v>45586</v>
      </c>
      <c r="C178" s="104" vm="1354">
        <f ca="1"/>
        <v>2958</v>
      </c>
      <c r="D178" s="105">
        <f t="shared" ca="1" si="14"/>
        <v>-1.1413197867753966E-2</v>
      </c>
      <c r="F178" s="104" vm="1353">
        <f ca="1"/>
        <v>45586</v>
      </c>
      <c r="G178" s="104" vm="1355">
        <f ca="1"/>
        <v>24180.799999999999</v>
      </c>
      <c r="H178" s="105">
        <f t="shared" ca="1" si="15"/>
        <v>-2.7088140564616281E-2</v>
      </c>
      <c r="N178" s="104" vm="1353">
        <f ca="1"/>
        <v>45586</v>
      </c>
      <c r="O178" s="104" vm="1356">
        <f ca="1"/>
        <v>277.69560000000001</v>
      </c>
      <c r="P178" s="105">
        <f t="shared" ca="1" si="16"/>
        <v>-2.752154142204033E-2</v>
      </c>
      <c r="R178" s="104" vm="1353">
        <f ca="1"/>
        <v>45586</v>
      </c>
      <c r="S178" s="104" vm="1357">
        <f ca="1"/>
        <v>536.95000000000005</v>
      </c>
      <c r="T178" s="105">
        <f t="shared" ca="1" si="17"/>
        <v>-3.4870135705940442E-2</v>
      </c>
      <c r="V178" s="104" vm="1353">
        <f ca="1"/>
        <v>45586</v>
      </c>
      <c r="W178" s="104" vm="1358">
        <f ca="1"/>
        <v>3553.7964000000002</v>
      </c>
      <c r="X178" s="105">
        <f t="shared" ca="1" si="18"/>
        <v>-5.0666740466374205E-2</v>
      </c>
      <c r="Z178" s="104" vm="1353">
        <f ca="1"/>
        <v>45586</v>
      </c>
      <c r="AA178" s="104" vm="1359">
        <f ca="1"/>
        <v>1601.45</v>
      </c>
      <c r="AB178" s="105">
        <f t="shared" ca="1" si="19"/>
        <v>2.2049907460590878E-2</v>
      </c>
      <c r="AD178" s="104" vm="1353">
        <f ca="1"/>
        <v>45586</v>
      </c>
      <c r="AE178" s="104" vm="1360">
        <f ca="1"/>
        <v>301.5</v>
      </c>
      <c r="AF178" s="105">
        <f t="shared" ca="1" si="20"/>
        <v>-7.7276205049732205E-2</v>
      </c>
    </row>
    <row r="179" spans="2:32" x14ac:dyDescent="0.3">
      <c r="B179" s="104" vm="1361">
        <f ca="1"/>
        <v>45593</v>
      </c>
      <c r="C179" s="104" vm="1362">
        <f ca="1"/>
        <v>2939.85</v>
      </c>
      <c r="D179" s="105">
        <f t="shared" ca="1" si="14"/>
        <v>-6.135902636916879E-3</v>
      </c>
      <c r="F179" s="104" vm="1361">
        <f ca="1"/>
        <v>45593</v>
      </c>
      <c r="G179" s="104" vm="1363">
        <f ca="1"/>
        <v>24304.35</v>
      </c>
      <c r="H179" s="105">
        <f t="shared" ca="1" si="15"/>
        <v>5.1094256600276999E-3</v>
      </c>
      <c r="N179" s="104" vm="1361">
        <f ca="1"/>
        <v>45593</v>
      </c>
      <c r="O179" s="104" vm="1364">
        <f ca="1"/>
        <v>285.50470000000001</v>
      </c>
      <c r="P179" s="105">
        <f t="shared" ca="1" si="16"/>
        <v>2.8121079340111876E-2</v>
      </c>
      <c r="R179" s="104" vm="1361">
        <f ca="1"/>
        <v>45593</v>
      </c>
      <c r="S179" s="104" vm="1365">
        <f ca="1"/>
        <v>531.75</v>
      </c>
      <c r="T179" s="105">
        <f t="shared" ca="1" si="17"/>
        <v>-9.6843281497347444E-3</v>
      </c>
      <c r="V179" s="104" vm="1361">
        <f ca="1"/>
        <v>45593</v>
      </c>
      <c r="W179" s="104" vm="1366">
        <f ca="1"/>
        <v>4325.1081999999997</v>
      </c>
      <c r="X179" s="105">
        <f t="shared" ca="1" si="18"/>
        <v>0.21703882642235772</v>
      </c>
      <c r="Z179" s="104" vm="1361">
        <f ca="1"/>
        <v>45593</v>
      </c>
      <c r="AA179" s="104" vm="1367">
        <f ca="1"/>
        <v>1676.35</v>
      </c>
      <c r="AB179" s="105">
        <f t="shared" ca="1" si="19"/>
        <v>4.677011458365854E-2</v>
      </c>
      <c r="AD179" s="104" vm="1361">
        <f ca="1"/>
        <v>45593</v>
      </c>
      <c r="AE179" s="104" vm="1368">
        <f ca="1"/>
        <v>341.2</v>
      </c>
      <c r="AF179" s="105">
        <f t="shared" ca="1" si="20"/>
        <v>0.13167495854063005</v>
      </c>
    </row>
    <row r="180" spans="2:32" x14ac:dyDescent="0.3">
      <c r="B180" s="104" vm="1369">
        <f ca="1"/>
        <v>45600</v>
      </c>
      <c r="C180" s="104" vm="1370">
        <f ca="1"/>
        <v>2769.45</v>
      </c>
      <c r="D180" s="105">
        <f t="shared" ca="1" si="14"/>
        <v>-5.7962140925557404E-2</v>
      </c>
      <c r="F180" s="104" vm="1369">
        <f ca="1"/>
        <v>45600</v>
      </c>
      <c r="G180" s="104" vm="1371">
        <f ca="1"/>
        <v>24148.2</v>
      </c>
      <c r="H180" s="105">
        <f t="shared" ca="1" si="15"/>
        <v>-6.4247758117372822E-3</v>
      </c>
      <c r="N180" s="104" vm="1369">
        <f ca="1"/>
        <v>45600</v>
      </c>
      <c r="O180" s="104" vm="1372">
        <f ca="1"/>
        <v>269.7373</v>
      </c>
      <c r="P180" s="105">
        <f t="shared" ca="1" si="16"/>
        <v>-5.5226411334034164E-2</v>
      </c>
      <c r="R180" s="104" vm="1369">
        <f ca="1"/>
        <v>45600</v>
      </c>
      <c r="S180" s="104" vm="1373">
        <f ca="1"/>
        <v>504.25</v>
      </c>
      <c r="T180" s="105">
        <f t="shared" ca="1" si="17"/>
        <v>-5.1716031969910703E-2</v>
      </c>
      <c r="V180" s="104" vm="1369">
        <f ca="1"/>
        <v>45600</v>
      </c>
      <c r="W180" s="104" vm="1374">
        <f ca="1"/>
        <v>3916.8145</v>
      </c>
      <c r="X180" s="105">
        <f t="shared" ca="1" si="18"/>
        <v>-9.4400805972900237E-2</v>
      </c>
      <c r="Z180" s="104" vm="1369">
        <f ca="1"/>
        <v>45600</v>
      </c>
      <c r="AA180" s="104" vm="1375">
        <f ca="1"/>
        <v>1534.45</v>
      </c>
      <c r="AB180" s="105">
        <f t="shared" ca="1" si="19"/>
        <v>-8.4648193992901133E-2</v>
      </c>
      <c r="AD180" s="104" vm="1369">
        <f ca="1"/>
        <v>45600</v>
      </c>
      <c r="AE180" s="104" vm="1376">
        <f ca="1"/>
        <v>362.6</v>
      </c>
      <c r="AF180" s="105">
        <f t="shared" ca="1" si="20"/>
        <v>6.2719812426729193E-2</v>
      </c>
    </row>
    <row r="181" spans="2:32" x14ac:dyDescent="0.3">
      <c r="B181" s="104" vm="1377">
        <f ca="1"/>
        <v>45607</v>
      </c>
      <c r="C181" s="104" vm="1378">
        <f ca="1"/>
        <v>2483.15</v>
      </c>
      <c r="D181" s="105">
        <f t="shared" ca="1" si="14"/>
        <v>-0.10337792702522153</v>
      </c>
      <c r="F181" s="104" vm="1377">
        <f ca="1"/>
        <v>45607</v>
      </c>
      <c r="G181" s="104" vm="1379">
        <f ca="1"/>
        <v>23532.7</v>
      </c>
      <c r="H181" s="105">
        <f t="shared" ca="1" si="15"/>
        <v>-2.5488442202731498E-2</v>
      </c>
      <c r="N181" s="104" vm="1377">
        <f ca="1"/>
        <v>45607</v>
      </c>
      <c r="O181" s="104" vm="1380">
        <f ca="1"/>
        <v>257.89929999999998</v>
      </c>
      <c r="P181" s="105">
        <f t="shared" ca="1" si="16"/>
        <v>-4.3887145011090478E-2</v>
      </c>
      <c r="R181" s="104" vm="1377">
        <f ca="1"/>
        <v>45607</v>
      </c>
      <c r="S181" s="104" vm="1381">
        <f ca="1"/>
        <v>491.9</v>
      </c>
      <c r="T181" s="105">
        <f t="shared" ca="1" si="17"/>
        <v>-2.4491819533961401E-2</v>
      </c>
      <c r="V181" s="104" vm="1377">
        <f ca="1"/>
        <v>45607</v>
      </c>
      <c r="W181" s="104" vm="1382">
        <f ca="1"/>
        <v>3490.2384000000002</v>
      </c>
      <c r="X181" s="105">
        <f t="shared" ca="1" si="18"/>
        <v>-0.10890893607547658</v>
      </c>
      <c r="Z181" s="104" vm="1377">
        <f ca="1"/>
        <v>45607</v>
      </c>
      <c r="AA181" s="104" vm="1383">
        <f ca="1"/>
        <v>1500.15</v>
      </c>
      <c r="AB181" s="105">
        <f t="shared" ca="1" si="19"/>
        <v>-2.235328619375021E-2</v>
      </c>
      <c r="AD181" s="104" vm="1377">
        <f ca="1"/>
        <v>45607</v>
      </c>
      <c r="AE181" s="104" vm="1384">
        <f ca="1"/>
        <v>339.6</v>
      </c>
      <c r="AF181" s="105">
        <f t="shared" ca="1" si="20"/>
        <v>-6.3430777716491971E-2</v>
      </c>
    </row>
    <row r="182" spans="2:32" x14ac:dyDescent="0.3">
      <c r="B182" s="104" vm="1385">
        <f ca="1"/>
        <v>45614</v>
      </c>
      <c r="C182" s="104" vm="1386">
        <f ca="1"/>
        <v>2472.1999999999998</v>
      </c>
      <c r="D182" s="105">
        <f t="shared" ca="1" si="14"/>
        <v>-4.4097215230656239E-3</v>
      </c>
      <c r="F182" s="104" vm="1385">
        <f ca="1"/>
        <v>45614</v>
      </c>
      <c r="G182" s="104" vm="1387">
        <f ca="1"/>
        <v>23907.25</v>
      </c>
      <c r="H182" s="105">
        <f t="shared" ca="1" si="15"/>
        <v>1.5916150717937061E-2</v>
      </c>
      <c r="N182" s="104" vm="1385">
        <f ca="1"/>
        <v>45614</v>
      </c>
      <c r="O182" s="104" vm="1388">
        <f ca="1"/>
        <v>265.85759999999999</v>
      </c>
      <c r="P182" s="105">
        <f t="shared" ca="1" si="16"/>
        <v>3.085816828506327E-2</v>
      </c>
      <c r="R182" s="104" vm="1385">
        <f ca="1"/>
        <v>45614</v>
      </c>
      <c r="S182" s="104" vm="1389">
        <f ca="1"/>
        <v>476.25</v>
      </c>
      <c r="T182" s="105">
        <f t="shared" ca="1" si="17"/>
        <v>-3.1815409636104852E-2</v>
      </c>
      <c r="V182" s="104" vm="1385">
        <f ca="1"/>
        <v>45614</v>
      </c>
      <c r="W182" s="104" vm="1390">
        <f ca="1"/>
        <v>3483.2507999999998</v>
      </c>
      <c r="X182" s="105">
        <f t="shared" ca="1" si="18"/>
        <v>-2.002040892106538E-3</v>
      </c>
      <c r="Z182" s="104" vm="1385">
        <f ca="1"/>
        <v>45614</v>
      </c>
      <c r="AA182" s="104" vm="1391">
        <f ca="1"/>
        <v>1502.8</v>
      </c>
      <c r="AB182" s="105">
        <f t="shared" ca="1" si="19"/>
        <v>1.7664900176648235E-3</v>
      </c>
      <c r="AD182" s="104" vm="1385">
        <f ca="1"/>
        <v>45614</v>
      </c>
      <c r="AE182" s="104" vm="1392">
        <f ca="1"/>
        <v>315.35000000000002</v>
      </c>
      <c r="AF182" s="105">
        <f t="shared" ca="1" si="20"/>
        <v>-7.1407538280329752E-2</v>
      </c>
    </row>
    <row r="183" spans="2:32" x14ac:dyDescent="0.3">
      <c r="B183" s="104" vm="1393">
        <f ca="1"/>
        <v>45621</v>
      </c>
      <c r="C183" s="104" vm="1394">
        <f ca="1"/>
        <v>2479.6</v>
      </c>
      <c r="D183" s="105">
        <f t="shared" ca="1" si="14"/>
        <v>2.9932853329019959E-3</v>
      </c>
      <c r="F183" s="104" vm="1393">
        <f ca="1"/>
        <v>45621</v>
      </c>
      <c r="G183" s="104" vm="1395">
        <f ca="1"/>
        <v>24131.1</v>
      </c>
      <c r="H183" s="105">
        <f t="shared" ca="1" si="15"/>
        <v>9.3632684645870157E-3</v>
      </c>
      <c r="N183" s="104" vm="1393">
        <f ca="1"/>
        <v>45621</v>
      </c>
      <c r="O183" s="104" vm="1396">
        <f ca="1"/>
        <v>279.48630000000003</v>
      </c>
      <c r="P183" s="105">
        <f t="shared" ca="1" si="16"/>
        <v>5.1263157419611183E-2</v>
      </c>
      <c r="R183" s="104" vm="1393">
        <f ca="1"/>
        <v>45621</v>
      </c>
      <c r="S183" s="104" vm="1397">
        <f ca="1"/>
        <v>493.7</v>
      </c>
      <c r="T183" s="105">
        <f t="shared" ca="1" si="17"/>
        <v>3.6640419947506553E-2</v>
      </c>
      <c r="V183" s="104" vm="1393">
        <f ca="1"/>
        <v>45621</v>
      </c>
      <c r="W183" s="104" vm="1398">
        <f ca="1"/>
        <v>3548.5318000000002</v>
      </c>
      <c r="X183" s="105">
        <f t="shared" ca="1" si="18"/>
        <v>1.874140099242938E-2</v>
      </c>
      <c r="Z183" s="104" vm="1393">
        <f ca="1"/>
        <v>45621</v>
      </c>
      <c r="AA183" s="104" vm="1399">
        <f ca="1"/>
        <v>1433.55</v>
      </c>
      <c r="AB183" s="105">
        <f t="shared" ca="1" si="19"/>
        <v>-4.6080649454351863E-2</v>
      </c>
      <c r="AD183" s="104" vm="1393">
        <f ca="1"/>
        <v>45621</v>
      </c>
      <c r="AE183" s="104" vm="1400">
        <f ca="1"/>
        <v>338.3</v>
      </c>
      <c r="AF183" s="105">
        <f t="shared" ca="1" si="20"/>
        <v>7.2776280323450182E-2</v>
      </c>
    </row>
    <row r="184" spans="2:32" x14ac:dyDescent="0.3">
      <c r="B184" s="104" vm="1401">
        <f ca="1"/>
        <v>45628</v>
      </c>
      <c r="C184" s="104" vm="1402">
        <f ca="1"/>
        <v>2429.6999999999998</v>
      </c>
      <c r="D184" s="105">
        <f t="shared" ca="1" si="14"/>
        <v>-2.0124213582836004E-2</v>
      </c>
      <c r="F184" s="104" vm="1401">
        <f ca="1"/>
        <v>45628</v>
      </c>
      <c r="G184" s="104" vm="1403">
        <f ca="1"/>
        <v>24677.8</v>
      </c>
      <c r="H184" s="105">
        <f t="shared" ca="1" si="15"/>
        <v>2.2655411481449228E-2</v>
      </c>
      <c r="N184" s="104" vm="1401">
        <f ca="1"/>
        <v>45628</v>
      </c>
      <c r="O184" s="104" vm="1167">
        <f ca="1"/>
        <v>276.4024</v>
      </c>
      <c r="P184" s="105">
        <f t="shared" ca="1" si="16"/>
        <v>-1.1034172336891079E-2</v>
      </c>
      <c r="R184" s="104" vm="1401">
        <f ca="1"/>
        <v>45628</v>
      </c>
      <c r="S184" s="104" vm="1404">
        <f ca="1"/>
        <v>480.45</v>
      </c>
      <c r="T184" s="105">
        <f t="shared" ca="1" si="17"/>
        <v>-2.6838160826412771E-2</v>
      </c>
      <c r="V184" s="104" vm="1401">
        <f ca="1"/>
        <v>45628</v>
      </c>
      <c r="W184" s="104" vm="1405">
        <f ca="1"/>
        <v>3517.2793000000001</v>
      </c>
      <c r="X184" s="105">
        <f t="shared" ca="1" si="18"/>
        <v>-8.8071635711423069E-3</v>
      </c>
      <c r="Z184" s="104" vm="1401">
        <f ca="1"/>
        <v>45628</v>
      </c>
      <c r="AA184" s="104" vm="1406">
        <f ca="1"/>
        <v>1433.9</v>
      </c>
      <c r="AB184" s="105">
        <f t="shared" ca="1" si="19"/>
        <v>2.4414914024628587E-4</v>
      </c>
      <c r="AD184" s="104" vm="1401">
        <f ca="1"/>
        <v>45628</v>
      </c>
      <c r="AE184" s="104" vm="1407">
        <f ca="1"/>
        <v>340.45</v>
      </c>
      <c r="AF184" s="105">
        <f t="shared" ca="1" si="20"/>
        <v>6.3553059414720448E-3</v>
      </c>
    </row>
    <row r="185" spans="2:32" x14ac:dyDescent="0.3">
      <c r="B185" s="104" vm="1408">
        <f ca="1"/>
        <v>45635</v>
      </c>
      <c r="C185" s="104" vm="1409">
        <f ca="1"/>
        <v>2407.65</v>
      </c>
      <c r="D185" s="105">
        <f t="shared" ca="1" si="14"/>
        <v>-9.0751944684527297E-3</v>
      </c>
      <c r="F185" s="104" vm="1408">
        <f ca="1"/>
        <v>45635</v>
      </c>
      <c r="G185" s="104" vm="1410">
        <f ca="1"/>
        <v>24768.3</v>
      </c>
      <c r="H185" s="105">
        <f t="shared" ca="1" si="15"/>
        <v>3.6672636944945491E-3</v>
      </c>
      <c r="N185" s="104" vm="1408">
        <f ca="1"/>
        <v>45635</v>
      </c>
      <c r="O185" s="104" vm="1411">
        <f ca="1"/>
        <v>261.3313</v>
      </c>
      <c r="P185" s="105">
        <f t="shared" ca="1" si="16"/>
        <v>-5.4525937546128445E-2</v>
      </c>
      <c r="R185" s="104" vm="1408">
        <f ca="1"/>
        <v>45635</v>
      </c>
      <c r="S185" s="104" vm="1412">
        <f ca="1"/>
        <v>475</v>
      </c>
      <c r="T185" s="105">
        <f t="shared" ca="1" si="17"/>
        <v>-1.1343532105317911E-2</v>
      </c>
      <c r="V185" s="104" vm="1408">
        <f ca="1"/>
        <v>45635</v>
      </c>
      <c r="W185" s="104" vm="1413">
        <f ca="1"/>
        <v>3396.2892000000002</v>
      </c>
      <c r="X185" s="105">
        <f t="shared" ca="1" si="18"/>
        <v>-3.4398775212420518E-2</v>
      </c>
      <c r="Z185" s="104" vm="1408">
        <f ca="1"/>
        <v>45635</v>
      </c>
      <c r="AA185" s="104" vm="1414">
        <f ca="1"/>
        <v>1430.45</v>
      </c>
      <c r="AB185" s="105">
        <f t="shared" ca="1" si="19"/>
        <v>-2.4060255247925211E-3</v>
      </c>
      <c r="AD185" s="104" vm="1408">
        <f ca="1"/>
        <v>45635</v>
      </c>
      <c r="AE185" s="104" vm="1415">
        <f ca="1"/>
        <v>346.25</v>
      </c>
      <c r="AF185" s="105">
        <f t="shared" ca="1" si="20"/>
        <v>1.7036275517697153E-2</v>
      </c>
    </row>
    <row r="186" spans="2:32" x14ac:dyDescent="0.3">
      <c r="B186" s="104" vm="1416">
        <f ca="1"/>
        <v>45642</v>
      </c>
      <c r="C186" s="104" vm="1417">
        <f ca="1"/>
        <v>2282.35</v>
      </c>
      <c r="D186" s="105">
        <f t="shared" ca="1" si="14"/>
        <v>-5.2042448030237054E-2</v>
      </c>
      <c r="F186" s="104" vm="1416">
        <f ca="1"/>
        <v>45642</v>
      </c>
      <c r="G186" s="104" vm="1418">
        <f ca="1"/>
        <v>23587.5</v>
      </c>
      <c r="H186" s="105">
        <f t="shared" ca="1" si="15"/>
        <v>-4.7673841159869612E-2</v>
      </c>
      <c r="N186" s="104" vm="1416">
        <f ca="1"/>
        <v>45642</v>
      </c>
      <c r="O186" s="104" vm="1419">
        <f ca="1"/>
        <v>260.83390000000003</v>
      </c>
      <c r="P186" s="105">
        <f t="shared" ca="1" si="16"/>
        <v>-1.9033311356120297E-3</v>
      </c>
      <c r="R186" s="104" vm="1416">
        <f ca="1"/>
        <v>45642</v>
      </c>
      <c r="S186" s="104" vm="1420">
        <f ca="1"/>
        <v>444.8</v>
      </c>
      <c r="T186" s="105">
        <f t="shared" ca="1" si="17"/>
        <v>-6.3578947368421068E-2</v>
      </c>
      <c r="V186" s="104" vm="1416">
        <f ca="1"/>
        <v>45642</v>
      </c>
      <c r="W186" s="104" vm="1421">
        <f ca="1"/>
        <v>3439.4110000000001</v>
      </c>
      <c r="X186" s="105">
        <f t="shared" ca="1" si="18"/>
        <v>1.2696739724049388E-2</v>
      </c>
      <c r="Z186" s="104" vm="1416">
        <f ca="1"/>
        <v>45642</v>
      </c>
      <c r="AA186" s="104" vm="1422">
        <f ca="1"/>
        <v>1408.95</v>
      </c>
      <c r="AB186" s="105">
        <f t="shared" ca="1" si="19"/>
        <v>-1.5030235240658496E-2</v>
      </c>
      <c r="AD186" s="104" vm="1416">
        <f ca="1"/>
        <v>45642</v>
      </c>
      <c r="AE186" s="104" vm="1423">
        <f ca="1"/>
        <v>325.14999999999998</v>
      </c>
      <c r="AF186" s="105">
        <f t="shared" ca="1" si="20"/>
        <v>-6.0938628158844876E-2</v>
      </c>
    </row>
    <row r="187" spans="2:32" x14ac:dyDescent="0.3">
      <c r="B187" s="104" vm="1424">
        <f ca="1"/>
        <v>45649</v>
      </c>
      <c r="C187" s="104" vm="1425">
        <f ca="1"/>
        <v>2271.4</v>
      </c>
      <c r="D187" s="105">
        <f t="shared" ca="1" si="14"/>
        <v>-4.7976865949568293E-3</v>
      </c>
      <c r="F187" s="104" vm="1424">
        <f ca="1"/>
        <v>45649</v>
      </c>
      <c r="G187" s="104" vm="1426">
        <f ca="1"/>
        <v>23813.4</v>
      </c>
      <c r="H187" s="105">
        <f t="shared" ca="1" si="15"/>
        <v>9.5771065182830295E-3</v>
      </c>
      <c r="N187" s="104" vm="1424">
        <f ca="1"/>
        <v>45649</v>
      </c>
      <c r="O187" s="104" vm="1427">
        <f ca="1"/>
        <v>259.93860000000001</v>
      </c>
      <c r="P187" s="105">
        <f t="shared" ca="1" si="16"/>
        <v>-3.4324526068123529E-3</v>
      </c>
      <c r="R187" s="104" vm="1424">
        <f ca="1"/>
        <v>45649</v>
      </c>
      <c r="S187" s="104" vm="1428">
        <f ca="1"/>
        <v>442.3</v>
      </c>
      <c r="T187" s="105">
        <f t="shared" ca="1" si="17"/>
        <v>-5.620503597122295E-3</v>
      </c>
      <c r="V187" s="104" vm="1424">
        <f ca="1"/>
        <v>45649</v>
      </c>
      <c r="W187" s="104" vm="1429">
        <f ca="1"/>
        <v>3263.1426999999999</v>
      </c>
      <c r="X187" s="105">
        <f t="shared" ca="1" si="18"/>
        <v>-5.1249559881037854E-2</v>
      </c>
      <c r="Z187" s="104" vm="1424">
        <f ca="1"/>
        <v>45649</v>
      </c>
      <c r="AA187" s="104" vm="1430">
        <f ca="1"/>
        <v>1333.9</v>
      </c>
      <c r="AB187" s="105">
        <f t="shared" ca="1" si="19"/>
        <v>-5.3266616984279036E-2</v>
      </c>
      <c r="AD187" s="104" vm="1424">
        <f ca="1"/>
        <v>45649</v>
      </c>
      <c r="AE187" s="104" vm="1431">
        <f ca="1"/>
        <v>338.7</v>
      </c>
      <c r="AF187" s="105">
        <f t="shared" ca="1" si="20"/>
        <v>4.1673073965861951E-2</v>
      </c>
    </row>
    <row r="188" spans="2:32" x14ac:dyDescent="0.3">
      <c r="B188" s="104" vm="1432">
        <f ca="1"/>
        <v>45656</v>
      </c>
      <c r="C188" s="104" vm="1433">
        <f ca="1"/>
        <v>2335.9499999999998</v>
      </c>
      <c r="D188" s="105">
        <f t="shared" ca="1" si="14"/>
        <v>2.8418596460332735E-2</v>
      </c>
      <c r="F188" s="104" vm="1432">
        <f ca="1"/>
        <v>45656</v>
      </c>
      <c r="G188" s="104" vm="1434">
        <f ca="1"/>
        <v>24004.75</v>
      </c>
      <c r="H188" s="105">
        <f t="shared" ca="1" si="15"/>
        <v>8.035391838208783E-3</v>
      </c>
      <c r="N188" s="104" vm="1432">
        <f ca="1"/>
        <v>45656</v>
      </c>
      <c r="O188" s="104" vm="1435">
        <f ca="1"/>
        <v>260.53550000000001</v>
      </c>
      <c r="P188" s="105">
        <f t="shared" ca="1" si="16"/>
        <v>2.2963115135652412E-3</v>
      </c>
      <c r="R188" s="104" vm="1432">
        <f ca="1"/>
        <v>45656</v>
      </c>
      <c r="S188" s="104" vm="1436">
        <f ca="1"/>
        <v>457.85</v>
      </c>
      <c r="T188" s="105">
        <f t="shared" ca="1" si="17"/>
        <v>3.5157133167533328E-2</v>
      </c>
      <c r="V188" s="104" vm="1432">
        <f ca="1"/>
        <v>45656</v>
      </c>
      <c r="W188" s="104" vm="1437">
        <f ca="1"/>
        <v>3350.2478999999998</v>
      </c>
      <c r="X188" s="105">
        <f t="shared" ca="1" si="18"/>
        <v>2.6693653329963096E-2</v>
      </c>
      <c r="Z188" s="104" vm="1432">
        <f ca="1"/>
        <v>45656</v>
      </c>
      <c r="AA188" s="104" vm="1438">
        <f ca="1"/>
        <v>1395.75</v>
      </c>
      <c r="AB188" s="105">
        <f t="shared" ca="1" si="19"/>
        <v>4.6367793687682735E-2</v>
      </c>
      <c r="AD188" s="104" vm="1432">
        <f ca="1"/>
        <v>45656</v>
      </c>
      <c r="AE188" s="104" vm="1344">
        <f ca="1"/>
        <v>332.2</v>
      </c>
      <c r="AF188" s="105">
        <f t="shared" ca="1" si="20"/>
        <v>-1.9191024505462062E-2</v>
      </c>
    </row>
    <row r="189" spans="2:32" x14ac:dyDescent="0.3">
      <c r="B189" s="104" vm="1439">
        <f ca="1"/>
        <v>45663</v>
      </c>
      <c r="C189" s="104" vm="1440">
        <f ca="1"/>
        <v>2320.75</v>
      </c>
      <c r="D189" s="105">
        <f t="shared" ca="1" si="14"/>
        <v>-6.5069885913653369E-3</v>
      </c>
      <c r="F189" s="104" vm="1439">
        <f ca="1"/>
        <v>45663</v>
      </c>
      <c r="G189" s="104" vm="1441">
        <f ca="1"/>
        <v>23431.5</v>
      </c>
      <c r="H189" s="105">
        <f t="shared" ca="1" si="15"/>
        <v>-2.3880690280048689E-2</v>
      </c>
      <c r="N189" s="104" vm="1439">
        <f ca="1"/>
        <v>45663</v>
      </c>
      <c r="O189" s="104" vm="1442">
        <f ca="1"/>
        <v>252.4777</v>
      </c>
      <c r="P189" s="105">
        <f t="shared" ca="1" si="16"/>
        <v>-3.092783900850371E-2</v>
      </c>
      <c r="R189" s="104" vm="1439">
        <f ca="1"/>
        <v>45663</v>
      </c>
      <c r="S189" s="104" vm="1443">
        <f ca="1"/>
        <v>460.85</v>
      </c>
      <c r="T189" s="105">
        <f t="shared" ca="1" si="17"/>
        <v>6.5523643114557828E-3</v>
      </c>
      <c r="V189" s="104" vm="1439">
        <f ca="1"/>
        <v>45663</v>
      </c>
      <c r="W189" s="104" vm="1444">
        <f ca="1"/>
        <v>3575.4769999999999</v>
      </c>
      <c r="X189" s="105">
        <f t="shared" ca="1" si="18"/>
        <v>6.7227592322347318E-2</v>
      </c>
      <c r="Z189" s="104" vm="1439">
        <f ca="1"/>
        <v>45663</v>
      </c>
      <c r="AA189" s="104" vm="1445">
        <f ca="1"/>
        <v>1287.8</v>
      </c>
      <c r="AB189" s="105">
        <f t="shared" ca="1" si="19"/>
        <v>-7.734193086154395E-2</v>
      </c>
      <c r="AD189" s="104" vm="1439">
        <f ca="1"/>
        <v>45663</v>
      </c>
      <c r="AE189" s="104" vm="1446">
        <f ca="1"/>
        <v>305</v>
      </c>
      <c r="AF189" s="105">
        <f t="shared" ca="1" si="20"/>
        <v>-8.1878386514148027E-2</v>
      </c>
    </row>
    <row r="190" spans="2:32" x14ac:dyDescent="0.3">
      <c r="B190" s="104" vm="1447">
        <f ca="1"/>
        <v>45670</v>
      </c>
      <c r="C190" s="104" vm="1448">
        <f ca="1"/>
        <v>2261</v>
      </c>
      <c r="D190" s="105">
        <f t="shared" ca="1" si="14"/>
        <v>-2.5745987288592009E-2</v>
      </c>
      <c r="F190" s="104" vm="1447">
        <f ca="1"/>
        <v>45670</v>
      </c>
      <c r="G190" s="104" vm="1449">
        <f ca="1"/>
        <v>23203.200000000001</v>
      </c>
      <c r="H190" s="105">
        <f t="shared" ca="1" si="15"/>
        <v>-9.7432942833365344E-3</v>
      </c>
      <c r="N190" s="104" vm="1447">
        <f ca="1"/>
        <v>45670</v>
      </c>
      <c r="O190" s="104" vm="1450">
        <f ca="1"/>
        <v>242.92769999999999</v>
      </c>
      <c r="P190" s="105">
        <f t="shared" ca="1" si="16"/>
        <v>-3.7825122773219255E-2</v>
      </c>
      <c r="R190" s="104" vm="1447">
        <f ca="1"/>
        <v>45670</v>
      </c>
      <c r="S190" s="104" vm="1451">
        <f ca="1"/>
        <v>468.8</v>
      </c>
      <c r="T190" s="105">
        <f t="shared" ca="1" si="17"/>
        <v>1.7250732342410702E-2</v>
      </c>
      <c r="V190" s="104" vm="1447">
        <f ca="1"/>
        <v>45670</v>
      </c>
      <c r="W190" s="104" vm="1452">
        <f ca="1"/>
        <v>3676.2701999999999</v>
      </c>
      <c r="X190" s="105">
        <f t="shared" ca="1" si="18"/>
        <v>2.8190140784012829E-2</v>
      </c>
      <c r="Z190" s="104" vm="1447">
        <f ca="1"/>
        <v>45670</v>
      </c>
      <c r="AA190" s="104" vm="1453">
        <f ca="1"/>
        <v>1228.3</v>
      </c>
      <c r="AB190" s="105">
        <f t="shared" ca="1" si="19"/>
        <v>-4.6202826525858054E-2</v>
      </c>
      <c r="AD190" s="104" vm="1447">
        <f ca="1"/>
        <v>45670</v>
      </c>
      <c r="AE190" s="104" vm="1454">
        <f ca="1"/>
        <v>321.5</v>
      </c>
      <c r="AF190" s="105">
        <f t="shared" ca="1" si="20"/>
        <v>5.4098360655737698E-2</v>
      </c>
    </row>
    <row r="191" spans="2:32" x14ac:dyDescent="0.3">
      <c r="B191" s="104" vm="1455">
        <f ca="1"/>
        <v>45677</v>
      </c>
      <c r="C191" s="104" vm="1456">
        <f ca="1"/>
        <v>2262.4</v>
      </c>
      <c r="D191" s="105">
        <f t="shared" ca="1" si="14"/>
        <v>6.1919504643959122E-4</v>
      </c>
      <c r="F191" s="104" vm="1455">
        <f ca="1"/>
        <v>45677</v>
      </c>
      <c r="G191" s="104" vm="1457">
        <f ca="1"/>
        <v>23092.2</v>
      </c>
      <c r="H191" s="105">
        <f t="shared" ca="1" si="15"/>
        <v>-4.7838229209764549E-3</v>
      </c>
      <c r="N191" s="104" vm="1455">
        <f ca="1"/>
        <v>45677</v>
      </c>
      <c r="O191" s="104" vm="1458">
        <f ca="1"/>
        <v>240.83869999999999</v>
      </c>
      <c r="P191" s="105">
        <f t="shared" ca="1" si="16"/>
        <v>-8.5992663660834356E-3</v>
      </c>
      <c r="R191" s="104" vm="1455">
        <f ca="1"/>
        <v>45677</v>
      </c>
      <c r="S191" s="104" vm="1459">
        <f ca="1"/>
        <v>480.1</v>
      </c>
      <c r="T191" s="105">
        <f t="shared" ca="1" si="17"/>
        <v>2.4104095563139971E-2</v>
      </c>
      <c r="V191" s="104" vm="1455">
        <f ca="1"/>
        <v>45677</v>
      </c>
      <c r="W191" s="104" vm="1460">
        <f ca="1"/>
        <v>3687.5650999999998</v>
      </c>
      <c r="X191" s="105">
        <f t="shared" ca="1" si="18"/>
        <v>3.0723802619294638E-3</v>
      </c>
      <c r="Z191" s="104" vm="1455">
        <f ca="1"/>
        <v>45677</v>
      </c>
      <c r="AA191" s="104" vm="1461">
        <f ca="1"/>
        <v>1227.1500000000001</v>
      </c>
      <c r="AB191" s="105">
        <f t="shared" ca="1" si="19"/>
        <v>-9.3625335829994327E-4</v>
      </c>
      <c r="AD191" s="104" vm="1455">
        <f ca="1"/>
        <v>45677</v>
      </c>
      <c r="AE191" s="104" vm="1462">
        <f ca="1"/>
        <v>309.5</v>
      </c>
      <c r="AF191" s="105">
        <f t="shared" ca="1" si="20"/>
        <v>-3.7325038880248851E-2</v>
      </c>
    </row>
    <row r="192" spans="2:32" x14ac:dyDescent="0.3">
      <c r="B192" s="104" vm="1463">
        <f ca="1"/>
        <v>45684</v>
      </c>
      <c r="C192" s="104" vm="1464">
        <f ca="1"/>
        <v>2351.15</v>
      </c>
      <c r="D192" s="105">
        <f t="shared" ca="1" si="14"/>
        <v>3.9228253182461037E-2</v>
      </c>
      <c r="F192" s="104" vm="1463">
        <f ca="1"/>
        <v>45684</v>
      </c>
      <c r="G192" s="104" vm="1465">
        <f ca="1"/>
        <v>23482.15</v>
      </c>
      <c r="H192" s="105">
        <f t="shared" ca="1" si="15"/>
        <v>1.6886654368141629E-2</v>
      </c>
      <c r="N192" s="104" vm="1463">
        <f ca="1"/>
        <v>45684</v>
      </c>
      <c r="O192" s="104" vm="1466">
        <f ca="1"/>
        <v>238.77940000000001</v>
      </c>
      <c r="P192" s="105">
        <f t="shared" ca="1" si="16"/>
        <v>-8.5505361057005569E-3</v>
      </c>
      <c r="R192" s="104" vm="1463">
        <f ca="1"/>
        <v>45684</v>
      </c>
      <c r="S192" s="104" vm="1467">
        <f ca="1"/>
        <v>492.15</v>
      </c>
      <c r="T192" s="105">
        <f t="shared" ca="1" si="17"/>
        <v>2.5098937721308001E-2</v>
      </c>
      <c r="V192" s="104" vm="1463">
        <f ca="1"/>
        <v>45684</v>
      </c>
      <c r="W192" s="104" vm="1468">
        <f ca="1"/>
        <v>3634.3926999999999</v>
      </c>
      <c r="X192" s="105">
        <f t="shared" ca="1" si="18"/>
        <v>-1.4419379335160687E-2</v>
      </c>
      <c r="Z192" s="104" vm="1463">
        <f ca="1"/>
        <v>45684</v>
      </c>
      <c r="AA192" s="104" vm="1469">
        <f ca="1"/>
        <v>1278.05</v>
      </c>
      <c r="AB192" s="105">
        <f t="shared" ca="1" si="19"/>
        <v>4.147822189626349E-2</v>
      </c>
      <c r="AD192" s="104" vm="1463">
        <f ca="1"/>
        <v>45684</v>
      </c>
      <c r="AE192" s="104" vm="1470">
        <f ca="1"/>
        <v>316.14999999999998</v>
      </c>
      <c r="AF192" s="105">
        <f t="shared" ca="1" si="20"/>
        <v>2.1486268174474965E-2</v>
      </c>
    </row>
    <row r="193" spans="2:32" x14ac:dyDescent="0.3">
      <c r="B193" s="104" vm="1471">
        <f ca="1"/>
        <v>45691</v>
      </c>
      <c r="C193" s="104" vm="1472">
        <f ca="1"/>
        <v>2271</v>
      </c>
      <c r="D193" s="105">
        <f t="shared" ca="1" si="14"/>
        <v>-3.4089700784722399E-2</v>
      </c>
      <c r="F193" s="104" vm="1471">
        <f ca="1"/>
        <v>45691</v>
      </c>
      <c r="G193" s="104" vm="1473">
        <f ca="1"/>
        <v>23559.95</v>
      </c>
      <c r="H193" s="105">
        <f t="shared" ca="1" si="15"/>
        <v>3.3131548857323612E-3</v>
      </c>
      <c r="N193" s="104" vm="1471">
        <f ca="1"/>
        <v>45691</v>
      </c>
      <c r="O193" s="104" vm="1474">
        <f ca="1"/>
        <v>247.68279999999999</v>
      </c>
      <c r="P193" s="105">
        <f t="shared" ca="1" si="16"/>
        <v>3.7287136159986911E-2</v>
      </c>
      <c r="R193" s="104" vm="1471">
        <f ca="1"/>
        <v>45691</v>
      </c>
      <c r="S193" s="104" vm="1475">
        <f ca="1"/>
        <v>479.35</v>
      </c>
      <c r="T193" s="105">
        <f t="shared" ca="1" si="17"/>
        <v>-2.6008330793457213E-2</v>
      </c>
      <c r="V193" s="104" vm="1471">
        <f ca="1"/>
        <v>45691</v>
      </c>
      <c r="W193" s="104" vm="1476">
        <f ca="1"/>
        <v>3465.2076000000002</v>
      </c>
      <c r="X193" s="105">
        <f t="shared" ca="1" si="18"/>
        <v>-4.6551133563524805E-2</v>
      </c>
      <c r="Z193" s="104" vm="1471">
        <f ca="1"/>
        <v>45691</v>
      </c>
      <c r="AA193" s="104" vm="1477">
        <f ca="1"/>
        <v>1255.2</v>
      </c>
      <c r="AB193" s="105">
        <f t="shared" ca="1" si="19"/>
        <v>-1.7878799733969664E-2</v>
      </c>
      <c r="AD193" s="104" vm="1471">
        <f ca="1"/>
        <v>45691</v>
      </c>
      <c r="AE193" s="104" vm="1478">
        <f ca="1"/>
        <v>303.95</v>
      </c>
      <c r="AF193" s="105">
        <f t="shared" ca="1" si="20"/>
        <v>-3.85892772418156E-2</v>
      </c>
    </row>
    <row r="194" spans="2:32" x14ac:dyDescent="0.3">
      <c r="B194" s="104" vm="1479">
        <f ca="1"/>
        <v>45698</v>
      </c>
      <c r="C194" s="104" vm="1480">
        <f ca="1"/>
        <v>2231.3000000000002</v>
      </c>
      <c r="D194" s="105">
        <f t="shared" ca="1" si="14"/>
        <v>-1.7481285777190547E-2</v>
      </c>
      <c r="F194" s="104" vm="1479">
        <f ca="1"/>
        <v>45698</v>
      </c>
      <c r="G194" s="104" vm="1481">
        <f ca="1"/>
        <v>22929.25</v>
      </c>
      <c r="H194" s="105">
        <f t="shared" ca="1" si="15"/>
        <v>-2.6770005878620329E-2</v>
      </c>
      <c r="N194" s="104" vm="1479">
        <f ca="1"/>
        <v>45698</v>
      </c>
      <c r="O194" s="104" vm="1482">
        <f ca="1"/>
        <v>230.1944</v>
      </c>
      <c r="P194" s="105">
        <f t="shared" ca="1" si="16"/>
        <v>-7.0608051911557834E-2</v>
      </c>
      <c r="R194" s="104" vm="1479">
        <f ca="1"/>
        <v>45698</v>
      </c>
      <c r="S194" s="104" vm="1483">
        <f ca="1"/>
        <v>478.3</v>
      </c>
      <c r="T194" s="105">
        <f t="shared" ca="1" si="17"/>
        <v>-2.1904662563888566E-3</v>
      </c>
      <c r="V194" s="104" vm="1479">
        <f ca="1"/>
        <v>45698</v>
      </c>
      <c r="W194" s="104" vm="1484">
        <f ca="1"/>
        <v>3110.3256999999999</v>
      </c>
      <c r="X194" s="105">
        <f t="shared" ca="1" si="18"/>
        <v>-0.1024128828529639</v>
      </c>
      <c r="Z194" s="104" vm="1479">
        <f ca="1"/>
        <v>45698</v>
      </c>
      <c r="AA194" s="104" vm="1485">
        <f ca="1"/>
        <v>1085.75</v>
      </c>
      <c r="AB194" s="105">
        <f t="shared" ca="1" si="19"/>
        <v>-0.13499840662842577</v>
      </c>
      <c r="AD194" s="104" vm="1479">
        <f ca="1"/>
        <v>45698</v>
      </c>
      <c r="AE194" s="104" vm="1486">
        <f ca="1"/>
        <v>285.75</v>
      </c>
      <c r="AF194" s="105">
        <f t="shared" ca="1" si="20"/>
        <v>-5.9878269452212529E-2</v>
      </c>
    </row>
    <row r="195" spans="2:32" x14ac:dyDescent="0.3">
      <c r="B195" s="104" vm="1487">
        <f ca="1"/>
        <v>45705</v>
      </c>
      <c r="C195" s="104" vm="1488">
        <f ca="1"/>
        <v>2257.6</v>
      </c>
      <c r="D195" s="105">
        <f t="shared" ca="1" si="14"/>
        <v>1.1786850714829766E-2</v>
      </c>
      <c r="F195" s="104" vm="1487">
        <f ca="1"/>
        <v>45705</v>
      </c>
      <c r="G195" s="104" vm="1489">
        <f ca="1"/>
        <v>22795.9</v>
      </c>
      <c r="H195" s="105">
        <f t="shared" ca="1" si="15"/>
        <v>-5.8157157342695331E-3</v>
      </c>
      <c r="N195" s="104" vm="1487">
        <f ca="1"/>
        <v>45705</v>
      </c>
      <c r="O195" s="104" vm="1490">
        <f ca="1"/>
        <v>240.37110000000001</v>
      </c>
      <c r="P195" s="105">
        <f t="shared" ca="1" si="16"/>
        <v>4.4209155392138211E-2</v>
      </c>
      <c r="R195" s="104" vm="1487">
        <f ca="1"/>
        <v>45705</v>
      </c>
      <c r="S195" s="104" vm="1491">
        <f ca="1"/>
        <v>491.25</v>
      </c>
      <c r="T195" s="105">
        <f t="shared" ca="1" si="17"/>
        <v>2.7075057495295818E-2</v>
      </c>
      <c r="V195" s="104" vm="1487">
        <f ca="1"/>
        <v>45705</v>
      </c>
      <c r="W195" s="104" vm="1492">
        <f ca="1"/>
        <v>3117.6482999999998</v>
      </c>
      <c r="X195" s="105">
        <f t="shared" ca="1" si="18"/>
        <v>2.3542872053559094E-3</v>
      </c>
      <c r="Z195" s="104" vm="1487">
        <f ca="1"/>
        <v>45705</v>
      </c>
      <c r="AA195" s="104" vm="1493">
        <f ca="1"/>
        <v>1078.1500000000001</v>
      </c>
      <c r="AB195" s="105">
        <f t="shared" ca="1" si="19"/>
        <v>-6.9997697444161844E-3</v>
      </c>
      <c r="AD195" s="104" vm="1487">
        <f ca="1"/>
        <v>45705</v>
      </c>
      <c r="AE195" s="104" vm="1494">
        <f ca="1"/>
        <v>279.3</v>
      </c>
      <c r="AF195" s="105">
        <f t="shared" ca="1" si="20"/>
        <v>-2.2572178477690219E-2</v>
      </c>
    </row>
    <row r="196" spans="2:32" x14ac:dyDescent="0.3">
      <c r="B196" s="104" vm="1495">
        <f ca="1"/>
        <v>45712</v>
      </c>
      <c r="C196" s="104" vm="1496">
        <f ca="1"/>
        <v>2179.75</v>
      </c>
      <c r="D196" s="105">
        <f t="shared" ca="1" si="14"/>
        <v>-3.4483522324592397E-2</v>
      </c>
      <c r="F196" s="104" vm="1495">
        <f ca="1"/>
        <v>45712</v>
      </c>
      <c r="G196" s="104" vm="1497">
        <f ca="1"/>
        <v>22124.7</v>
      </c>
      <c r="H196" s="105">
        <f t="shared" ca="1" si="15"/>
        <v>-2.9443891226053842E-2</v>
      </c>
      <c r="N196" s="104" vm="1495">
        <f ca="1"/>
        <v>45712</v>
      </c>
      <c r="O196" s="104" vm="1498">
        <f ca="1"/>
        <v>225.47909999999999</v>
      </c>
      <c r="P196" s="105">
        <f t="shared" ca="1" si="16"/>
        <v>-6.1954203313127176E-2</v>
      </c>
      <c r="R196" s="104" vm="1495">
        <f ca="1"/>
        <v>45712</v>
      </c>
      <c r="S196" s="104" vm="1499">
        <f ca="1"/>
        <v>488.55</v>
      </c>
      <c r="T196" s="105">
        <f t="shared" ca="1" si="17"/>
        <v>-5.4961832061068971E-3</v>
      </c>
      <c r="V196" s="104" vm="1495">
        <f ca="1"/>
        <v>45712</v>
      </c>
      <c r="W196" s="104" vm="1500">
        <f ca="1"/>
        <v>2977.1313</v>
      </c>
      <c r="X196" s="105">
        <f t="shared" ca="1" si="18"/>
        <v>-4.5071472622489117E-2</v>
      </c>
      <c r="Z196" s="104" vm="1495">
        <f ca="1"/>
        <v>45712</v>
      </c>
      <c r="AA196" s="104" vm="1501">
        <f ca="1"/>
        <v>1019.85</v>
      </c>
      <c r="AB196" s="105">
        <f t="shared" ca="1" si="19"/>
        <v>-5.4074108426471312E-2</v>
      </c>
      <c r="AD196" s="104" vm="1495">
        <f ca="1"/>
        <v>45712</v>
      </c>
      <c r="AE196" s="104" vm="326">
        <f ca="1"/>
        <v>269.85000000000002</v>
      </c>
      <c r="AF196" s="105">
        <f t="shared" ca="1" si="20"/>
        <v>-3.3834586466165328E-2</v>
      </c>
    </row>
    <row r="197" spans="2:32" x14ac:dyDescent="0.3">
      <c r="B197" s="104" vm="1502">
        <f ca="1"/>
        <v>45719</v>
      </c>
      <c r="C197" s="104" vm="1503">
        <f ca="1"/>
        <v>2270</v>
      </c>
      <c r="D197" s="105">
        <f t="shared" ca="1" si="14"/>
        <v>4.1403830714531464E-2</v>
      </c>
      <c r="F197" s="104" vm="1502">
        <f ca="1"/>
        <v>45719</v>
      </c>
      <c r="G197" s="104" vm="1504">
        <f ca="1"/>
        <v>22552.5</v>
      </c>
      <c r="H197" s="105">
        <f t="shared" ca="1" si="15"/>
        <v>1.9335855401429125E-2</v>
      </c>
      <c r="N197" s="104" vm="1502">
        <f ca="1"/>
        <v>45719</v>
      </c>
      <c r="O197" s="104" vm="1505">
        <f ca="1"/>
        <v>234.42230000000001</v>
      </c>
      <c r="P197" s="105">
        <f t="shared" ca="1" si="16"/>
        <v>3.9663099595483642E-2</v>
      </c>
      <c r="R197" s="104" vm="1502">
        <f ca="1"/>
        <v>45719</v>
      </c>
      <c r="S197" s="104" vm="1506">
        <f ca="1"/>
        <v>509.35</v>
      </c>
      <c r="T197" s="105">
        <f t="shared" ca="1" si="17"/>
        <v>4.2574966738307296E-2</v>
      </c>
      <c r="V197" s="104" vm="1502">
        <f ca="1"/>
        <v>45719</v>
      </c>
      <c r="W197" s="104" vm="1507">
        <f ca="1"/>
        <v>3148.7094000000002</v>
      </c>
      <c r="X197" s="105">
        <f t="shared" ca="1" si="18"/>
        <v>5.7632023149264633E-2</v>
      </c>
      <c r="Z197" s="104" vm="1502">
        <f ca="1"/>
        <v>45719</v>
      </c>
      <c r="AA197" s="104" vm="1508">
        <f ca="1"/>
        <v>1063.5</v>
      </c>
      <c r="AB197" s="105">
        <f t="shared" ca="1" si="19"/>
        <v>4.2800411825268503E-2</v>
      </c>
      <c r="AD197" s="104" vm="1502">
        <f ca="1"/>
        <v>45719</v>
      </c>
      <c r="AE197" s="104" vm="1509">
        <f ca="1"/>
        <v>263.89999999999998</v>
      </c>
      <c r="AF197" s="105">
        <f t="shared" ca="1" si="20"/>
        <v>-2.2049286640726473E-2</v>
      </c>
    </row>
    <row r="198" spans="2:32" x14ac:dyDescent="0.3">
      <c r="B198" s="104" vm="1510">
        <f ca="1"/>
        <v>45726</v>
      </c>
      <c r="C198" s="104" vm="1480">
        <f ca="1"/>
        <v>2231.3000000000002</v>
      </c>
      <c r="D198" s="105">
        <f t="shared" ca="1" si="14"/>
        <v>-1.7048458149779622E-2</v>
      </c>
      <c r="F198" s="104" vm="1510">
        <f ca="1"/>
        <v>45726</v>
      </c>
      <c r="G198" s="104" vm="1511">
        <f ca="1"/>
        <v>22397.200000000001</v>
      </c>
      <c r="H198" s="105">
        <f t="shared" ca="1" si="15"/>
        <v>-6.8861545283227521E-3</v>
      </c>
      <c r="N198" s="104" vm="1510">
        <f ca="1"/>
        <v>45726</v>
      </c>
      <c r="O198" s="104" vm="1512">
        <f ca="1"/>
        <v>223.4796</v>
      </c>
      <c r="P198" s="105">
        <f t="shared" ca="1" si="16"/>
        <v>-4.6679432801401632E-2</v>
      </c>
      <c r="R198" s="104" vm="1510">
        <f ca="1"/>
        <v>45726</v>
      </c>
      <c r="S198" s="104" vm="1513">
        <f ca="1"/>
        <v>488.2</v>
      </c>
      <c r="T198" s="105">
        <f t="shared" ca="1" si="17"/>
        <v>-4.1523510356336613E-2</v>
      </c>
      <c r="V198" s="104" vm="1510">
        <f ca="1"/>
        <v>45726</v>
      </c>
      <c r="W198" s="104" vm="1514">
        <f ca="1"/>
        <v>2990.7714000000001</v>
      </c>
      <c r="X198" s="105">
        <f t="shared" ca="1" si="18"/>
        <v>-5.0159598723210297E-2</v>
      </c>
      <c r="Z198" s="104" vm="1510">
        <f ca="1"/>
        <v>45726</v>
      </c>
      <c r="AA198" s="104" vm="1515">
        <f ca="1"/>
        <v>990.25</v>
      </c>
      <c r="AB198" s="105">
        <f t="shared" ca="1" si="19"/>
        <v>-6.8876351669017399E-2</v>
      </c>
      <c r="AD198" s="104" vm="1510">
        <f ca="1"/>
        <v>45726</v>
      </c>
      <c r="AE198" s="104" vm="1516">
        <f ca="1"/>
        <v>254</v>
      </c>
      <c r="AF198" s="105">
        <f t="shared" ca="1" si="20"/>
        <v>-3.7514209928002917E-2</v>
      </c>
    </row>
    <row r="199" spans="2:32" x14ac:dyDescent="0.3">
      <c r="B199" s="104" vm="1517">
        <f ca="1"/>
        <v>45733</v>
      </c>
      <c r="C199" s="104" vm="1518">
        <f ca="1"/>
        <v>2300.4</v>
      </c>
      <c r="D199" s="105">
        <f t="shared" ca="1" si="14"/>
        <v>3.0968493703222189E-2</v>
      </c>
      <c r="F199" s="104" vm="1517">
        <f ca="1"/>
        <v>45733</v>
      </c>
      <c r="G199" s="104" vm="1519">
        <f ca="1"/>
        <v>23350.400000000001</v>
      </c>
      <c r="H199" s="105">
        <f t="shared" ca="1" si="15"/>
        <v>4.2558891289982803E-2</v>
      </c>
      <c r="N199" s="104" vm="1517">
        <f ca="1"/>
        <v>45733</v>
      </c>
      <c r="O199" s="104" vm="1520">
        <f ca="1"/>
        <v>243.65389999999999</v>
      </c>
      <c r="P199" s="105">
        <f t="shared" ca="1" si="16"/>
        <v>9.0273564119498939E-2</v>
      </c>
      <c r="R199" s="104" vm="1517">
        <f ca="1"/>
        <v>45733</v>
      </c>
      <c r="S199" s="104" vm="1521">
        <f ca="1"/>
        <v>500.3</v>
      </c>
      <c r="T199" s="105">
        <f t="shared" ca="1" si="17"/>
        <v>2.4784924211388892E-2</v>
      </c>
      <c r="V199" s="104" vm="1517">
        <f ca="1"/>
        <v>45733</v>
      </c>
      <c r="W199" s="104" vm="1522">
        <f ca="1"/>
        <v>3230.8850000000002</v>
      </c>
      <c r="X199" s="105">
        <f t="shared" ca="1" si="18"/>
        <v>8.0284838888054155E-2</v>
      </c>
      <c r="Z199" s="104" vm="1517">
        <f ca="1"/>
        <v>45733</v>
      </c>
      <c r="AA199" s="104" vm="1523">
        <f ca="1"/>
        <v>994.45</v>
      </c>
      <c r="AB199" s="105">
        <f t="shared" ca="1" si="19"/>
        <v>4.2413531936380533E-3</v>
      </c>
      <c r="AD199" s="104" vm="1517">
        <f ca="1"/>
        <v>45733</v>
      </c>
      <c r="AE199" s="104" vm="326">
        <f ca="1"/>
        <v>269.85000000000002</v>
      </c>
      <c r="AF199" s="105">
        <f t="shared" ca="1" si="20"/>
        <v>6.2401574803149673E-2</v>
      </c>
    </row>
    <row r="200" spans="2:32" x14ac:dyDescent="0.3">
      <c r="B200" s="104" vm="1524">
        <f ca="1"/>
        <v>45740</v>
      </c>
      <c r="C200" s="104" vm="1525">
        <f ca="1"/>
        <v>2340.65</v>
      </c>
      <c r="D200" s="105">
        <f t="shared" ca="1" si="14"/>
        <v>1.7496957050947559E-2</v>
      </c>
      <c r="F200" s="104" vm="1524">
        <f ca="1"/>
        <v>45740</v>
      </c>
      <c r="G200" s="104" vm="1526">
        <f ca="1"/>
        <v>23519.35</v>
      </c>
      <c r="H200" s="105">
        <f t="shared" ca="1" si="15"/>
        <v>7.2354220912702605E-3</v>
      </c>
      <c r="N200" s="104" vm="1524">
        <f ca="1"/>
        <v>45740</v>
      </c>
      <c r="O200" s="104" vm="1527">
        <f ca="1"/>
        <v>231.6866</v>
      </c>
      <c r="P200" s="105">
        <f t="shared" ca="1" si="16"/>
        <v>-4.9115979674448029E-2</v>
      </c>
      <c r="R200" s="104" vm="1524">
        <f ca="1"/>
        <v>45740</v>
      </c>
      <c r="S200" s="104" vm="1528">
        <f ca="1"/>
        <v>500.2</v>
      </c>
      <c r="T200" s="105">
        <f t="shared" ca="1" si="17"/>
        <v>-1.9988007195692603E-4</v>
      </c>
      <c r="V200" s="104" vm="1524">
        <f ca="1"/>
        <v>45740</v>
      </c>
      <c r="W200" s="104" vm="1529">
        <f ca="1"/>
        <v>3444.0056</v>
      </c>
      <c r="X200" s="105">
        <f t="shared" ca="1" si="18"/>
        <v>6.5963536306615556E-2</v>
      </c>
      <c r="Z200" s="104" vm="1524">
        <f ca="1"/>
        <v>45740</v>
      </c>
      <c r="AA200" s="104" vm="1530">
        <f ca="1"/>
        <v>942.7</v>
      </c>
      <c r="AB200" s="105">
        <f t="shared" ca="1" si="19"/>
        <v>-5.2038815425612173E-2</v>
      </c>
      <c r="AD200" s="104" vm="1524">
        <f ca="1"/>
        <v>45740</v>
      </c>
      <c r="AE200" s="104" vm="1531">
        <f ca="1"/>
        <v>241.7</v>
      </c>
      <c r="AF200" s="105">
        <f t="shared" ca="1" si="20"/>
        <v>-0.10431721326662968</v>
      </c>
    </row>
    <row r="201" spans="2:32" x14ac:dyDescent="0.3">
      <c r="B201" s="104" vm="1532">
        <f ca="1"/>
        <v>45748</v>
      </c>
      <c r="C201" s="104" vm="1533">
        <f ca="1"/>
        <v>2356.0500000000002</v>
      </c>
      <c r="D201" s="105">
        <f t="shared" ca="1" si="14"/>
        <v>6.5793689787025933E-3</v>
      </c>
      <c r="F201" s="104" vm="1532">
        <f ca="1"/>
        <v>45748</v>
      </c>
      <c r="G201" s="104" vm="1534">
        <f ca="1"/>
        <v>22904.45</v>
      </c>
      <c r="H201" s="105">
        <f t="shared" ca="1" si="15"/>
        <v>-2.6144430011883713E-2</v>
      </c>
      <c r="N201" s="104" vm="1532">
        <f ca="1"/>
        <v>45748</v>
      </c>
      <c r="O201" s="104" vm="1535">
        <f ca="1"/>
        <v>238.292</v>
      </c>
      <c r="P201" s="105">
        <f t="shared" ca="1" si="16"/>
        <v>2.8510064889380793E-2</v>
      </c>
      <c r="R201" s="104" vm="1532">
        <f ca="1"/>
        <v>45748</v>
      </c>
      <c r="S201" s="104" vm="1536">
        <f ca="1"/>
        <v>512.04999999999995</v>
      </c>
      <c r="T201" s="105">
        <f t="shared" ca="1" si="17"/>
        <v>2.3690523790483642E-2</v>
      </c>
      <c r="V201" s="104" vm="1532">
        <f ca="1"/>
        <v>45748</v>
      </c>
      <c r="W201" s="104" vm="1537">
        <f ca="1"/>
        <v>3353.7415999999998</v>
      </c>
      <c r="X201" s="105">
        <f t="shared" ca="1" si="18"/>
        <v>-2.6209016617162351E-2</v>
      </c>
      <c r="Z201" s="104" vm="1532">
        <f ca="1"/>
        <v>45748</v>
      </c>
      <c r="AA201" s="104" vm="1538">
        <f ca="1"/>
        <v>963.2</v>
      </c>
      <c r="AB201" s="105">
        <f t="shared" ca="1" si="19"/>
        <v>2.1746048583854982E-2</v>
      </c>
      <c r="AD201" s="104" vm="1532">
        <f ca="1"/>
        <v>45748</v>
      </c>
      <c r="AE201" s="104" vm="1539">
        <f ca="1"/>
        <v>258.52</v>
      </c>
      <c r="AF201" s="105">
        <f t="shared" ca="1" si="20"/>
        <v>6.959040132395522E-2</v>
      </c>
    </row>
    <row r="202" spans="2:32" x14ac:dyDescent="0.3">
      <c r="B202" s="104" vm="1540">
        <f ca="1"/>
        <v>45754</v>
      </c>
      <c r="C202" s="104" vm="1541">
        <f ca="1"/>
        <v>2393.6</v>
      </c>
      <c r="D202" s="105">
        <f t="shared" ref="D202:D265" ca="1" si="21">C202/C201-1</f>
        <v>1.5937692324016872E-2</v>
      </c>
      <c r="F202" s="104" vm="1540">
        <f ca="1"/>
        <v>45754</v>
      </c>
      <c r="G202" s="104" vm="1542">
        <f ca="1"/>
        <v>22828.55</v>
      </c>
      <c r="H202" s="105">
        <f t="shared" ref="H202:H265" ca="1" si="22">G202/G201-1</f>
        <v>-3.3137665388167648E-3</v>
      </c>
      <c r="N202" s="104" vm="1540">
        <f ca="1"/>
        <v>45754</v>
      </c>
      <c r="O202" s="104" vm="1543">
        <f ca="1"/>
        <v>248.27969999999999</v>
      </c>
      <c r="P202" s="105">
        <f t="shared" ref="P202:P265" ca="1" si="23">O202/O201-1</f>
        <v>4.1913702516240603E-2</v>
      </c>
      <c r="R202" s="104" vm="1540">
        <f ca="1"/>
        <v>45754</v>
      </c>
      <c r="S202" s="104" vm="1544">
        <f ca="1"/>
        <v>530.5</v>
      </c>
      <c r="T202" s="105">
        <f t="shared" ref="T202:T265" ca="1" si="24">S202/S201-1</f>
        <v>3.6031637535397065E-2</v>
      </c>
      <c r="V202" s="104" vm="1540">
        <f ca="1"/>
        <v>45754</v>
      </c>
      <c r="W202" s="104" vm="1545">
        <f ca="1"/>
        <v>3360.2026999999998</v>
      </c>
      <c r="X202" s="105">
        <f t="shared" ref="X202:X265" ca="1" si="25">W202/W201-1</f>
        <v>1.9265348290398165E-3</v>
      </c>
      <c r="Z202" s="104" vm="1540">
        <f ca="1"/>
        <v>45754</v>
      </c>
      <c r="AA202" s="104" vm="1546">
        <f ca="1"/>
        <v>985.7</v>
      </c>
      <c r="AB202" s="105">
        <f t="shared" ref="AB202:AB265" ca="1" si="26">AA202/AA201-1</f>
        <v>2.3359634551495034E-2</v>
      </c>
      <c r="AD202" s="104" vm="1540">
        <f ca="1"/>
        <v>45754</v>
      </c>
      <c r="AE202" s="104" vm="1547">
        <f ca="1"/>
        <v>260.02999999999997</v>
      </c>
      <c r="AF202" s="105">
        <f t="shared" ref="AF202:AF265" ca="1" si="27">AE202/AE201-1</f>
        <v>5.8409407395945134E-3</v>
      </c>
    </row>
    <row r="203" spans="2:32" x14ac:dyDescent="0.3">
      <c r="B203" s="104" vm="1548">
        <f ca="1"/>
        <v>45762</v>
      </c>
      <c r="C203" s="104" vm="1549">
        <f ca="1"/>
        <v>2467.9</v>
      </c>
      <c r="D203" s="105">
        <f t="shared" ca="1" si="21"/>
        <v>3.1041109625668417E-2</v>
      </c>
      <c r="F203" s="104" vm="1548">
        <f ca="1"/>
        <v>45762</v>
      </c>
      <c r="G203" s="104" vm="1550">
        <f ca="1"/>
        <v>23851.65</v>
      </c>
      <c r="H203" s="105">
        <f t="shared" ca="1" si="22"/>
        <v>4.4816687875489425E-2</v>
      </c>
      <c r="N203" s="104" vm="1548">
        <f ca="1"/>
        <v>45762</v>
      </c>
      <c r="O203" s="104" vm="1551">
        <f ca="1"/>
        <v>256.77519999999998</v>
      </c>
      <c r="P203" s="105">
        <f t="shared" ca="1" si="23"/>
        <v>3.4217457166252352E-2</v>
      </c>
      <c r="R203" s="104" vm="1548">
        <f ca="1"/>
        <v>45762</v>
      </c>
      <c r="S203" s="104" vm="1552">
        <f ca="1"/>
        <v>543.6</v>
      </c>
      <c r="T203" s="105">
        <f t="shared" ca="1" si="24"/>
        <v>2.4693685202639148E-2</v>
      </c>
      <c r="V203" s="104" vm="1548">
        <f ca="1"/>
        <v>45762</v>
      </c>
      <c r="W203" s="104" vm="1553">
        <f ca="1"/>
        <v>3344.9353999999998</v>
      </c>
      <c r="X203" s="105">
        <f t="shared" ca="1" si="25"/>
        <v>-4.5435651843265257E-3</v>
      </c>
      <c r="Z203" s="104" vm="1548">
        <f ca="1"/>
        <v>45762</v>
      </c>
      <c r="AA203" s="104" vm="1554">
        <f ca="1"/>
        <v>1017.45</v>
      </c>
      <c r="AB203" s="105">
        <f t="shared" ca="1" si="26"/>
        <v>3.2210611747996332E-2</v>
      </c>
      <c r="AD203" s="104" vm="1548">
        <f ca="1"/>
        <v>45762</v>
      </c>
      <c r="AE203" s="104" vm="1555">
        <f ca="1"/>
        <v>291.14999999999998</v>
      </c>
      <c r="AF203" s="105">
        <f t="shared" ca="1" si="27"/>
        <v>0.11967849863477298</v>
      </c>
    </row>
    <row r="204" spans="2:32" x14ac:dyDescent="0.3">
      <c r="B204" s="104" vm="1556">
        <f ca="1"/>
        <v>45768</v>
      </c>
      <c r="C204" s="104" vm="1557">
        <f ca="1"/>
        <v>2431.6</v>
      </c>
      <c r="D204" s="105">
        <f t="shared" ca="1" si="21"/>
        <v>-1.4708861785323601E-2</v>
      </c>
      <c r="F204" s="104" vm="1556">
        <f ca="1"/>
        <v>45768</v>
      </c>
      <c r="G204" s="104" vm="1558">
        <f ca="1"/>
        <v>24039.35</v>
      </c>
      <c r="H204" s="105">
        <f t="shared" ca="1" si="22"/>
        <v>7.86947653516612E-3</v>
      </c>
      <c r="N204" s="104" vm="1556">
        <f ca="1"/>
        <v>45768</v>
      </c>
      <c r="O204" s="104" vm="1559">
        <f ca="1"/>
        <v>260.84390000000002</v>
      </c>
      <c r="P204" s="105">
        <f t="shared" ca="1" si="23"/>
        <v>1.5845377590982368E-2</v>
      </c>
      <c r="R204" s="104" vm="1556">
        <f ca="1"/>
        <v>45768</v>
      </c>
      <c r="S204" s="104" vm="1560">
        <f ca="1"/>
        <v>552.5</v>
      </c>
      <c r="T204" s="105">
        <f t="shared" ca="1" si="24"/>
        <v>1.637233259749804E-2</v>
      </c>
      <c r="V204" s="104" vm="1556">
        <f ca="1"/>
        <v>45768</v>
      </c>
      <c r="W204" s="104" vm="1561">
        <f ca="1"/>
        <v>3415.4810000000002</v>
      </c>
      <c r="X204" s="105">
        <f t="shared" ca="1" si="25"/>
        <v>2.1090272774774821E-2</v>
      </c>
      <c r="Z204" s="104" vm="1556">
        <f ca="1"/>
        <v>45768</v>
      </c>
      <c r="AA204" s="104" vm="1562">
        <f ca="1"/>
        <v>1005.55</v>
      </c>
      <c r="AB204" s="105">
        <f t="shared" ca="1" si="26"/>
        <v>-1.1695906432748648E-2</v>
      </c>
      <c r="AD204" s="104" vm="1556">
        <f ca="1"/>
        <v>45768</v>
      </c>
      <c r="AE204" s="104" vm="1563">
        <f ca="1"/>
        <v>283.2</v>
      </c>
      <c r="AF204" s="105">
        <f t="shared" ca="1" si="27"/>
        <v>-2.7305512622359585E-2</v>
      </c>
    </row>
    <row r="205" spans="2:32" x14ac:dyDescent="0.3">
      <c r="B205" s="104" vm="1564">
        <f ca="1"/>
        <v>45775</v>
      </c>
      <c r="C205" s="104" vm="1565">
        <f ca="1"/>
        <v>2409.8000000000002</v>
      </c>
      <c r="D205" s="105">
        <f t="shared" ca="1" si="21"/>
        <v>-8.9652903438064424E-3</v>
      </c>
      <c r="F205" s="104" vm="1564">
        <f ca="1"/>
        <v>45775</v>
      </c>
      <c r="G205" s="104" vm="1566">
        <f ca="1"/>
        <v>24346.7</v>
      </c>
      <c r="H205" s="105">
        <f t="shared" ca="1" si="22"/>
        <v>1.2785287455775673E-2</v>
      </c>
      <c r="N205" s="104" vm="1564">
        <f ca="1"/>
        <v>45775</v>
      </c>
      <c r="O205" s="104" vm="1567">
        <f ca="1"/>
        <v>253.4228</v>
      </c>
      <c r="P205" s="105">
        <f t="shared" ca="1" si="23"/>
        <v>-2.8450349040173184E-2</v>
      </c>
      <c r="R205" s="104" vm="1564">
        <f ca="1"/>
        <v>45775</v>
      </c>
      <c r="S205" s="104" vm="1552">
        <f ca="1"/>
        <v>543.6</v>
      </c>
      <c r="T205" s="105">
        <f t="shared" ca="1" si="24"/>
        <v>-1.610859728506786E-2</v>
      </c>
      <c r="V205" s="104" vm="1564">
        <f ca="1"/>
        <v>45775</v>
      </c>
      <c r="W205" s="104" vm="1568">
        <f ca="1"/>
        <v>3302.34</v>
      </c>
      <c r="X205" s="105">
        <f t="shared" ca="1" si="25"/>
        <v>-3.3125934531622381E-2</v>
      </c>
      <c r="Z205" s="104" vm="1564">
        <f ca="1"/>
        <v>45775</v>
      </c>
      <c r="AA205" s="104" vm="1569">
        <f ca="1"/>
        <v>988.4</v>
      </c>
      <c r="AB205" s="105">
        <f t="shared" ca="1" si="26"/>
        <v>-1.7055342847198007E-2</v>
      </c>
      <c r="AD205" s="104" vm="1564">
        <f ca="1"/>
        <v>45775</v>
      </c>
      <c r="AE205" s="104" vm="1570">
        <f ca="1"/>
        <v>284.60000000000002</v>
      </c>
      <c r="AF205" s="105">
        <f t="shared" ca="1" si="27"/>
        <v>4.9435028248587809E-3</v>
      </c>
    </row>
    <row r="206" spans="2:32" x14ac:dyDescent="0.3">
      <c r="B206" s="104" vm="1571">
        <f ca="1"/>
        <v>45782</v>
      </c>
      <c r="C206" s="104" vm="1572">
        <f ca="1"/>
        <v>2299.6</v>
      </c>
      <c r="D206" s="105">
        <f t="shared" ca="1" si="21"/>
        <v>-4.5729936094281776E-2</v>
      </c>
      <c r="F206" s="104" vm="1571">
        <f ca="1"/>
        <v>45782</v>
      </c>
      <c r="G206" s="104" vm="1573">
        <f ca="1"/>
        <v>24008</v>
      </c>
      <c r="H206" s="105">
        <f t="shared" ca="1" si="22"/>
        <v>-1.391153626569519E-2</v>
      </c>
      <c r="N206" s="104" vm="1571">
        <f ca="1"/>
        <v>45782</v>
      </c>
      <c r="O206" s="104" vm="1574">
        <f ca="1"/>
        <v>256.40710000000001</v>
      </c>
      <c r="P206" s="105">
        <f t="shared" ca="1" si="23"/>
        <v>1.1775972801184587E-2</v>
      </c>
      <c r="R206" s="104" vm="1571">
        <f ca="1"/>
        <v>45782</v>
      </c>
      <c r="S206" s="104" vm="1575">
        <f ca="1"/>
        <v>536.6</v>
      </c>
      <c r="T206" s="105">
        <f t="shared" ca="1" si="24"/>
        <v>-1.287711552612214E-2</v>
      </c>
      <c r="V206" s="104" vm="1571">
        <f ca="1"/>
        <v>45782</v>
      </c>
      <c r="W206" s="104" vm="1576">
        <f ca="1"/>
        <v>3282.8130999999998</v>
      </c>
      <c r="X206" s="105">
        <f t="shared" ca="1" si="25"/>
        <v>-5.9130495345725009E-3</v>
      </c>
      <c r="Z206" s="104" vm="1571">
        <f ca="1"/>
        <v>45782</v>
      </c>
      <c r="AA206" s="104" vm="1577">
        <f ca="1"/>
        <v>950.35</v>
      </c>
      <c r="AB206" s="105">
        <f t="shared" ca="1" si="26"/>
        <v>-3.8496560097126653E-2</v>
      </c>
      <c r="AD206" s="104" vm="1571">
        <f ca="1"/>
        <v>45782</v>
      </c>
      <c r="AE206" s="104" vm="1578">
        <f ca="1"/>
        <v>260.3</v>
      </c>
      <c r="AF206" s="105">
        <f t="shared" ca="1" si="27"/>
        <v>-8.5382993675333863E-2</v>
      </c>
    </row>
    <row r="207" spans="2:32" x14ac:dyDescent="0.3">
      <c r="B207" s="104" vm="1579">
        <f ca="1"/>
        <v>45789</v>
      </c>
      <c r="C207" s="104" vm="1580">
        <f ca="1"/>
        <v>2353.6</v>
      </c>
      <c r="D207" s="105">
        <f t="shared" ca="1" si="21"/>
        <v>2.3482344755609619E-2</v>
      </c>
      <c r="F207" s="104" vm="1579">
        <f ca="1"/>
        <v>45789</v>
      </c>
      <c r="G207" s="104" vm="1581">
        <f ca="1"/>
        <v>25019.8</v>
      </c>
      <c r="H207" s="105">
        <f t="shared" ca="1" si="22"/>
        <v>4.2144285238253865E-2</v>
      </c>
      <c r="N207" s="104" vm="1579">
        <f ca="1"/>
        <v>45789</v>
      </c>
      <c r="O207" s="104" vm="1582">
        <f ca="1"/>
        <v>262.22660000000002</v>
      </c>
      <c r="P207" s="105">
        <f t="shared" ca="1" si="23"/>
        <v>2.2696329391814762E-2</v>
      </c>
      <c r="R207" s="104" vm="1579">
        <f ca="1"/>
        <v>45789</v>
      </c>
      <c r="S207" s="104" vm="1583">
        <f ca="1"/>
        <v>576.1</v>
      </c>
      <c r="T207" s="105">
        <f t="shared" ca="1" si="24"/>
        <v>7.3611628773760707E-2</v>
      </c>
      <c r="V207" s="104" vm="1579">
        <f ca="1"/>
        <v>45789</v>
      </c>
      <c r="W207" s="104" vm="1584">
        <f ca="1"/>
        <v>3444.3885</v>
      </c>
      <c r="X207" s="105">
        <f t="shared" ca="1" si="25"/>
        <v>4.9218580247532229E-2</v>
      </c>
      <c r="Z207" s="104" vm="1579">
        <f ca="1"/>
        <v>45789</v>
      </c>
      <c r="AA207" s="104" vm="1585">
        <f ca="1"/>
        <v>1028.2</v>
      </c>
      <c r="AB207" s="105">
        <f t="shared" ca="1" si="26"/>
        <v>8.1917188404272201E-2</v>
      </c>
      <c r="AD207" s="104" vm="1579">
        <f ca="1"/>
        <v>45789</v>
      </c>
      <c r="AE207" s="104" vm="1586">
        <f ca="1"/>
        <v>273.35000000000002</v>
      </c>
      <c r="AF207" s="105">
        <f t="shared" ca="1" si="27"/>
        <v>5.0134460238186795E-2</v>
      </c>
    </row>
    <row r="208" spans="2:32" x14ac:dyDescent="0.3">
      <c r="B208" s="104" vm="1587">
        <f ca="1"/>
        <v>45796</v>
      </c>
      <c r="C208" s="104" vm="1588">
        <f ca="1"/>
        <v>2315.5</v>
      </c>
      <c r="D208" s="105">
        <f t="shared" ca="1" si="21"/>
        <v>-1.6187967369136635E-2</v>
      </c>
      <c r="F208" s="104" vm="1587">
        <f ca="1"/>
        <v>45796</v>
      </c>
      <c r="G208" s="104" vm="1589">
        <f ca="1"/>
        <v>24853.15</v>
      </c>
      <c r="H208" s="105">
        <f t="shared" ca="1" si="22"/>
        <v>-6.660724706032739E-3</v>
      </c>
      <c r="N208" s="104" vm="1587">
        <f ca="1"/>
        <v>45796</v>
      </c>
      <c r="O208" s="104" vm="1590">
        <f ca="1"/>
        <v>258.84440000000001</v>
      </c>
      <c r="P208" s="105">
        <f t="shared" ca="1" si="23"/>
        <v>-1.2898005007882518E-2</v>
      </c>
      <c r="R208" s="104" vm="1587">
        <f ca="1"/>
        <v>45796</v>
      </c>
      <c r="S208" s="104" vm="1591">
        <f ca="1"/>
        <v>554.9</v>
      </c>
      <c r="T208" s="105">
        <f t="shared" ca="1" si="24"/>
        <v>-3.6799166811317563E-2</v>
      </c>
      <c r="V208" s="104" vm="1587">
        <f ca="1"/>
        <v>45796</v>
      </c>
      <c r="W208" s="104" vm="1592">
        <f ca="1"/>
        <v>3442.0911999999998</v>
      </c>
      <c r="X208" s="105">
        <f t="shared" ca="1" si="25"/>
        <v>-6.6696889738193654E-4</v>
      </c>
      <c r="Z208" s="104" vm="1587">
        <f ca="1"/>
        <v>45796</v>
      </c>
      <c r="AA208" s="104" vm="1593">
        <f ca="1"/>
        <v>1031.8</v>
      </c>
      <c r="AB208" s="105">
        <f t="shared" ca="1" si="26"/>
        <v>3.501264345457944E-3</v>
      </c>
      <c r="AD208" s="104" vm="1587">
        <f ca="1"/>
        <v>45796</v>
      </c>
      <c r="AE208" s="104" vm="1594">
        <f ca="1"/>
        <v>315</v>
      </c>
      <c r="AF208" s="105">
        <f t="shared" ca="1" si="27"/>
        <v>0.15236875800256078</v>
      </c>
    </row>
    <row r="209" spans="2:32" x14ac:dyDescent="0.3">
      <c r="B209" s="104" vm="1595">
        <f ca="1"/>
        <v>45803</v>
      </c>
      <c r="C209" s="104" vm="1596">
        <f ca="1"/>
        <v>2259.1</v>
      </c>
      <c r="D209" s="105">
        <f t="shared" ca="1" si="21"/>
        <v>-2.4357590153314623E-2</v>
      </c>
      <c r="F209" s="104" vm="1595">
        <f ca="1"/>
        <v>45803</v>
      </c>
      <c r="G209" s="104" vm="1597">
        <f ca="1"/>
        <v>24750.7</v>
      </c>
      <c r="H209" s="105">
        <f t="shared" ca="1" si="22"/>
        <v>-4.1222138843567402E-3</v>
      </c>
      <c r="N209" s="104" vm="1595">
        <f ca="1"/>
        <v>45803</v>
      </c>
      <c r="O209" s="104" vm="1598">
        <f ca="1"/>
        <v>252.37819999999999</v>
      </c>
      <c r="P209" s="105">
        <f t="shared" ca="1" si="23"/>
        <v>-2.4981031075039684E-2</v>
      </c>
      <c r="R209" s="104" vm="1595">
        <f ca="1"/>
        <v>45803</v>
      </c>
      <c r="S209" s="104" vm="1599">
        <f ca="1"/>
        <v>568.29999999999995</v>
      </c>
      <c r="T209" s="105">
        <f t="shared" ca="1" si="24"/>
        <v>2.4148495224364686E-2</v>
      </c>
      <c r="V209" s="104" vm="1595">
        <f ca="1"/>
        <v>45803</v>
      </c>
      <c r="W209" s="104" vm="1600">
        <f ca="1"/>
        <v>3202.5998</v>
      </c>
      <c r="X209" s="105">
        <f t="shared" ca="1" si="25"/>
        <v>-6.9577296499290897E-2</v>
      </c>
      <c r="Z209" s="104" vm="1595">
        <f ca="1"/>
        <v>45803</v>
      </c>
      <c r="AA209" s="104" vm="1601">
        <f ca="1"/>
        <v>1079.45</v>
      </c>
      <c r="AB209" s="105">
        <f t="shared" ca="1" si="26"/>
        <v>4.6181430509788735E-2</v>
      </c>
      <c r="AD209" s="104" vm="1595">
        <f ca="1"/>
        <v>45803</v>
      </c>
      <c r="AE209" s="104" vm="1602">
        <f ca="1"/>
        <v>349.05</v>
      </c>
      <c r="AF209" s="105">
        <f t="shared" ca="1" si="27"/>
        <v>0.10809523809523802</v>
      </c>
    </row>
    <row r="210" spans="2:32" x14ac:dyDescent="0.3">
      <c r="B210" s="104" vm="1603">
        <f ca="1"/>
        <v>45810</v>
      </c>
      <c r="C210" s="104" vm="1604">
        <f ca="1"/>
        <v>2245.1999999999998</v>
      </c>
      <c r="D210" s="105">
        <f t="shared" ca="1" si="21"/>
        <v>-6.1528927448984971E-3</v>
      </c>
      <c r="F210" s="104" vm="1603">
        <f ca="1"/>
        <v>45810</v>
      </c>
      <c r="G210" s="104" vm="1605">
        <f ca="1"/>
        <v>25003.05</v>
      </c>
      <c r="H210" s="105">
        <f t="shared" ca="1" si="22"/>
        <v>1.0195671233540704E-2</v>
      </c>
      <c r="N210" s="104" vm="1603">
        <f ca="1"/>
        <v>45810</v>
      </c>
      <c r="O210" s="104" vm="1606">
        <f ca="1"/>
        <v>247.8519</v>
      </c>
      <c r="P210" s="105">
        <f t="shared" ca="1" si="23"/>
        <v>-1.7934591814982359E-2</v>
      </c>
      <c r="R210" s="104" vm="1603">
        <f ca="1"/>
        <v>45810</v>
      </c>
      <c r="S210" s="104" vm="1607">
        <f ca="1"/>
        <v>581.5</v>
      </c>
      <c r="T210" s="105">
        <f t="shared" ca="1" si="24"/>
        <v>2.3227168748900295E-2</v>
      </c>
      <c r="V210" s="104" vm="1603">
        <f ca="1"/>
        <v>45810</v>
      </c>
      <c r="W210" s="104" vm="1608">
        <f ca="1"/>
        <v>3101.0408000000002</v>
      </c>
      <c r="X210" s="105">
        <f t="shared" ca="1" si="25"/>
        <v>-3.1711423950004591E-2</v>
      </c>
      <c r="Z210" s="104" vm="1603">
        <f ca="1"/>
        <v>45810</v>
      </c>
      <c r="AA210" s="104" vm="1609">
        <f ca="1"/>
        <v>1074.9000000000001</v>
      </c>
      <c r="AB210" s="105">
        <f t="shared" ca="1" si="26"/>
        <v>-4.2151095465282618E-3</v>
      </c>
      <c r="AD210" s="104" vm="1603">
        <f ca="1"/>
        <v>45810</v>
      </c>
      <c r="AE210" s="104" vm="1610">
        <f ca="1"/>
        <v>367.3</v>
      </c>
      <c r="AF210" s="105">
        <f t="shared" ca="1" si="27"/>
        <v>5.2284772955164094E-2</v>
      </c>
    </row>
    <row r="211" spans="2:32" x14ac:dyDescent="0.3">
      <c r="B211" s="104" vm="1611">
        <f ca="1"/>
        <v>45817</v>
      </c>
      <c r="C211" s="104" vm="1612">
        <f ca="1"/>
        <v>2214.1999999999998</v>
      </c>
      <c r="D211" s="105">
        <f t="shared" ca="1" si="21"/>
        <v>-1.3807233208622871E-2</v>
      </c>
      <c r="F211" s="104" vm="1611">
        <f ca="1"/>
        <v>45817</v>
      </c>
      <c r="G211" s="104" vm="1613">
        <f ca="1"/>
        <v>24718.6</v>
      </c>
      <c r="H211" s="105">
        <f t="shared" ca="1" si="22"/>
        <v>-1.1376612053329516E-2</v>
      </c>
      <c r="N211" s="104" vm="1611">
        <f ca="1"/>
        <v>45817</v>
      </c>
      <c r="O211" s="104" vm="1614">
        <f ca="1"/>
        <v>241.18680000000001</v>
      </c>
      <c r="P211" s="105">
        <f t="shared" ca="1" si="23"/>
        <v>-2.6891462199805538E-2</v>
      </c>
      <c r="R211" s="104" vm="1611">
        <f ca="1"/>
        <v>45817</v>
      </c>
      <c r="S211" s="104" vm="1615">
        <f ca="1"/>
        <v>570.15</v>
      </c>
      <c r="T211" s="105">
        <f t="shared" ca="1" si="24"/>
        <v>-1.9518486672398971E-2</v>
      </c>
      <c r="V211" s="104" vm="1611">
        <f ca="1"/>
        <v>45817</v>
      </c>
      <c r="W211" s="104" vm="1616">
        <f ca="1"/>
        <v>3099.7008000000001</v>
      </c>
      <c r="X211" s="105">
        <f t="shared" ca="1" si="25"/>
        <v>-4.3211298606593562E-4</v>
      </c>
      <c r="Z211" s="104" vm="1611">
        <f ca="1"/>
        <v>45817</v>
      </c>
      <c r="AA211" s="104" vm="1617">
        <f ca="1"/>
        <v>1094.5999999999999</v>
      </c>
      <c r="AB211" s="105">
        <f t="shared" ca="1" si="26"/>
        <v>1.8327286259186781E-2</v>
      </c>
      <c r="AD211" s="104" vm="1611">
        <f ca="1"/>
        <v>45817</v>
      </c>
      <c r="AE211" s="104" vm="1618">
        <f ca="1"/>
        <v>383</v>
      </c>
      <c r="AF211" s="105">
        <f t="shared" ca="1" si="27"/>
        <v>4.2744350667029751E-2</v>
      </c>
    </row>
    <row r="212" spans="2:32" x14ac:dyDescent="0.3">
      <c r="B212" s="104" vm="1619">
        <f ca="1"/>
        <v>45824</v>
      </c>
      <c r="C212" s="104" vm="1620">
        <f ca="1"/>
        <v>2285.6999999999998</v>
      </c>
      <c r="D212" s="105">
        <f t="shared" ca="1" si="21"/>
        <v>3.2291572577002992E-2</v>
      </c>
      <c r="F212" s="104" vm="1619">
        <f ca="1"/>
        <v>45824</v>
      </c>
      <c r="G212" s="104" vm="1621">
        <f ca="1"/>
        <v>25112.400000000001</v>
      </c>
      <c r="H212" s="105">
        <f t="shared" ca="1" si="22"/>
        <v>1.5931322971365791E-2</v>
      </c>
      <c r="N212" s="104" vm="1619">
        <f ca="1"/>
        <v>45824</v>
      </c>
      <c r="O212" s="104" vm="1622">
        <f ca="1"/>
        <v>238.5506</v>
      </c>
      <c r="P212" s="105">
        <f t="shared" ca="1" si="23"/>
        <v>-1.0930117236930048E-2</v>
      </c>
      <c r="R212" s="104" vm="1619">
        <f ca="1"/>
        <v>45824</v>
      </c>
      <c r="S212" s="104" vm="1623">
        <f ca="1"/>
        <v>535.75</v>
      </c>
      <c r="T212" s="105">
        <f t="shared" ca="1" si="24"/>
        <v>-6.0334999561518887E-2</v>
      </c>
      <c r="V212" s="104" vm="1619">
        <f ca="1"/>
        <v>45824</v>
      </c>
      <c r="W212" s="104" vm="1624">
        <f ca="1"/>
        <v>2966.8413999999998</v>
      </c>
      <c r="X212" s="105">
        <f t="shared" ca="1" si="25"/>
        <v>-4.286200784282157E-2</v>
      </c>
      <c r="Z212" s="104" vm="1619">
        <f ca="1"/>
        <v>45824</v>
      </c>
      <c r="AA212" s="104" vm="1625">
        <f ca="1"/>
        <v>1121</v>
      </c>
      <c r="AB212" s="105">
        <f t="shared" ca="1" si="26"/>
        <v>2.4118399415311575E-2</v>
      </c>
      <c r="AD212" s="104" vm="1619">
        <f ca="1"/>
        <v>45824</v>
      </c>
      <c r="AE212" s="104" vm="1626">
        <f ca="1"/>
        <v>378.2</v>
      </c>
      <c r="AF212" s="105">
        <f t="shared" ca="1" si="27"/>
        <v>-1.2532637075718056E-2</v>
      </c>
    </row>
    <row r="213" spans="2:32" x14ac:dyDescent="0.3">
      <c r="B213" s="104" vm="1627">
        <f ca="1"/>
        <v>45831</v>
      </c>
      <c r="C213" s="104" vm="1628">
        <f ca="1"/>
        <v>2358.6999999999998</v>
      </c>
      <c r="D213" s="105">
        <f t="shared" ca="1" si="21"/>
        <v>3.193769961062265E-2</v>
      </c>
      <c r="F213" s="104" vm="1627">
        <f ca="1"/>
        <v>45831</v>
      </c>
      <c r="G213" s="104" vm="1629">
        <f ca="1"/>
        <v>25637.8</v>
      </c>
      <c r="H213" s="105">
        <f t="shared" ca="1" si="22"/>
        <v>2.092193498032846E-2</v>
      </c>
      <c r="N213" s="104" vm="1627">
        <f ca="1"/>
        <v>45831</v>
      </c>
      <c r="O213" s="104" vm="1630">
        <f ca="1"/>
        <v>248.1</v>
      </c>
      <c r="P213" s="105">
        <f t="shared" ca="1" si="23"/>
        <v>4.0030920064757725E-2</v>
      </c>
      <c r="R213" s="104" vm="1627">
        <f ca="1"/>
        <v>45831</v>
      </c>
      <c r="S213" s="104" vm="1631">
        <f ca="1"/>
        <v>583.95000000000005</v>
      </c>
      <c r="T213" s="105">
        <f t="shared" ca="1" si="24"/>
        <v>8.9967335510966029E-2</v>
      </c>
      <c r="V213" s="104" vm="1627">
        <f ca="1"/>
        <v>45831</v>
      </c>
      <c r="W213" s="104" vm="1632">
        <f ca="1"/>
        <v>3272.2838999999999</v>
      </c>
      <c r="X213" s="105">
        <f t="shared" ca="1" si="25"/>
        <v>0.10295208230544439</v>
      </c>
      <c r="Z213" s="104" vm="1627">
        <f ca="1"/>
        <v>45831</v>
      </c>
      <c r="AA213" s="104" vm="1633">
        <f ca="1"/>
        <v>1161.0999999999999</v>
      </c>
      <c r="AB213" s="105">
        <f t="shared" ca="1" si="26"/>
        <v>3.5771632471008008E-2</v>
      </c>
      <c r="AD213" s="104" vm="1627">
        <f ca="1"/>
        <v>45831</v>
      </c>
      <c r="AE213" s="104" vm="1634">
        <f ca="1"/>
        <v>382.2</v>
      </c>
      <c r="AF213" s="105">
        <f t="shared" ca="1" si="27"/>
        <v>1.057641459545211E-2</v>
      </c>
    </row>
    <row r="214" spans="2:32" x14ac:dyDescent="0.3">
      <c r="B214" s="104" vm="1635">
        <f ca="1"/>
        <v>45838</v>
      </c>
      <c r="C214" s="104" vm="1636">
        <f ca="1"/>
        <v>2424.1999999999998</v>
      </c>
      <c r="D214" s="105">
        <f t="shared" ca="1" si="21"/>
        <v>2.7769534065374968E-2</v>
      </c>
      <c r="F214" s="104" vm="1635">
        <f ca="1"/>
        <v>45838</v>
      </c>
      <c r="G214" s="104" vm="1637">
        <f ca="1"/>
        <v>25461</v>
      </c>
      <c r="H214" s="105">
        <f t="shared" ca="1" si="22"/>
        <v>-6.8960675252947023E-3</v>
      </c>
      <c r="N214" s="104" vm="1635">
        <f ca="1"/>
        <v>45838</v>
      </c>
      <c r="O214" s="104" vm="1638">
        <f ca="1"/>
        <v>250.05</v>
      </c>
      <c r="P214" s="105">
        <f t="shared" ca="1" si="23"/>
        <v>7.8597339782346953E-3</v>
      </c>
      <c r="R214" s="104" vm="1635">
        <f ca="1"/>
        <v>45838</v>
      </c>
      <c r="S214" s="104" vm="1639">
        <f ca="1"/>
        <v>596</v>
      </c>
      <c r="T214" s="105">
        <f t="shared" ca="1" si="24"/>
        <v>2.0635328367154537E-2</v>
      </c>
      <c r="V214" s="104" vm="1635">
        <f ca="1"/>
        <v>45838</v>
      </c>
      <c r="W214" s="104" vm="1640">
        <f ca="1"/>
        <v>3294.2037999999998</v>
      </c>
      <c r="X214" s="105">
        <f t="shared" ca="1" si="25"/>
        <v>6.698654722470776E-3</v>
      </c>
      <c r="Z214" s="104" vm="1635">
        <f ca="1"/>
        <v>45838</v>
      </c>
      <c r="AA214" s="104" vm="1641">
        <f ca="1"/>
        <v>1199.5</v>
      </c>
      <c r="AB214" s="105">
        <f t="shared" ca="1" si="26"/>
        <v>3.3072086814228019E-2</v>
      </c>
      <c r="AD214" s="104" vm="1635">
        <f ca="1"/>
        <v>45838</v>
      </c>
      <c r="AE214" s="104" vm="1642">
        <f ca="1"/>
        <v>382</v>
      </c>
      <c r="AF214" s="105">
        <f t="shared" ca="1" si="27"/>
        <v>-5.2328623757191828E-4</v>
      </c>
    </row>
    <row r="215" spans="2:32" x14ac:dyDescent="0.3">
      <c r="B215" s="104" vm="1643">
        <f ca="1"/>
        <v>45845</v>
      </c>
      <c r="C215" s="104" vm="1644">
        <f ca="1"/>
        <v>2439.1999999999998</v>
      </c>
      <c r="D215" s="105">
        <f t="shared" ca="1" si="21"/>
        <v>6.1876082831449075E-3</v>
      </c>
      <c r="F215" s="104" vm="1643">
        <f ca="1"/>
        <v>45845</v>
      </c>
      <c r="G215" s="104" vm="1645">
        <f ca="1"/>
        <v>25149.85</v>
      </c>
      <c r="H215" s="105">
        <f t="shared" ca="1" si="22"/>
        <v>-1.2220651192019205E-2</v>
      </c>
      <c r="N215" s="104" vm="1643">
        <f ca="1"/>
        <v>45845</v>
      </c>
      <c r="O215" s="104" vm="1646">
        <f ca="1"/>
        <v>246.25</v>
      </c>
      <c r="P215" s="105">
        <f t="shared" ca="1" si="23"/>
        <v>-1.5196960607878451E-2</v>
      </c>
      <c r="R215" s="104" vm="1643">
        <f ca="1"/>
        <v>45845</v>
      </c>
      <c r="S215" s="104" vm="1647">
        <f ca="1"/>
        <v>572.54999999999995</v>
      </c>
      <c r="T215" s="105">
        <f t="shared" ca="1" si="24"/>
        <v>-3.9345637583892645E-2</v>
      </c>
      <c r="V215" s="104" vm="1643">
        <f ca="1"/>
        <v>45845</v>
      </c>
      <c r="W215" s="104" vm="1648">
        <f ca="1"/>
        <v>3486.6967</v>
      </c>
      <c r="X215" s="105">
        <f t="shared" ca="1" si="25"/>
        <v>5.8433816389866333E-2</v>
      </c>
      <c r="Z215" s="104" vm="1643">
        <f ca="1"/>
        <v>45845</v>
      </c>
      <c r="AA215" s="104" vm="1649">
        <f ca="1"/>
        <v>1200.2</v>
      </c>
      <c r="AB215" s="105">
        <f t="shared" ca="1" si="26"/>
        <v>5.8357649020424063E-4</v>
      </c>
      <c r="AD215" s="104" vm="1643">
        <f ca="1"/>
        <v>45845</v>
      </c>
      <c r="AE215" s="104" vm="1650">
        <f ca="1"/>
        <v>424.6</v>
      </c>
      <c r="AF215" s="105">
        <f t="shared" ca="1" si="27"/>
        <v>0.11151832460732991</v>
      </c>
    </row>
    <row r="216" spans="2:32" x14ac:dyDescent="0.3">
      <c r="B216" s="104" vm="1651">
        <f ca="1"/>
        <v>45852</v>
      </c>
      <c r="C216" s="104" vm="1652">
        <f ca="1"/>
        <v>2382.4</v>
      </c>
      <c r="D216" s="105">
        <f t="shared" ca="1" si="21"/>
        <v>-2.3286323384716145E-2</v>
      </c>
      <c r="F216" s="104" vm="1651">
        <f ca="1"/>
        <v>45852</v>
      </c>
      <c r="G216" s="104" vm="1653">
        <f ca="1"/>
        <v>24968.400000000001</v>
      </c>
      <c r="H216" s="105">
        <f t="shared" ca="1" si="22"/>
        <v>-7.214754759968578E-3</v>
      </c>
      <c r="N216" s="104" vm="1651">
        <f ca="1"/>
        <v>45852</v>
      </c>
      <c r="O216" s="104" vm="1630">
        <f ca="1"/>
        <v>248.1</v>
      </c>
      <c r="P216" s="105">
        <f t="shared" ca="1" si="23"/>
        <v>7.5126903553299762E-3</v>
      </c>
      <c r="R216" s="104" vm="1651">
        <f ca="1"/>
        <v>45852</v>
      </c>
      <c r="S216" s="104" vm="1654">
        <f ca="1"/>
        <v>576.79999999999995</v>
      </c>
      <c r="T216" s="105">
        <f t="shared" ca="1" si="24"/>
        <v>7.4229324949786069E-3</v>
      </c>
      <c r="V216" s="104" vm="1651">
        <f ca="1"/>
        <v>45852</v>
      </c>
      <c r="W216" s="104" vm="1655">
        <f ca="1"/>
        <v>3477.1246999999998</v>
      </c>
      <c r="X216" s="105">
        <f t="shared" ca="1" si="25"/>
        <v>-2.7452918402681714E-3</v>
      </c>
      <c r="Z216" s="104" vm="1651">
        <f ca="1"/>
        <v>45852</v>
      </c>
      <c r="AA216" s="104" vm="1656">
        <f ca="1"/>
        <v>1201.0999999999999</v>
      </c>
      <c r="AB216" s="105">
        <f t="shared" ca="1" si="26"/>
        <v>7.4987502082968227E-4</v>
      </c>
      <c r="AD216" s="104" vm="1651">
        <f ca="1"/>
        <v>45852</v>
      </c>
      <c r="AE216" s="104" vm="1657">
        <f ca="1"/>
        <v>422.05</v>
      </c>
      <c r="AF216" s="105">
        <f t="shared" ca="1" si="27"/>
        <v>-6.0056523787094251E-3</v>
      </c>
    </row>
    <row r="217" spans="2:32" x14ac:dyDescent="0.3">
      <c r="B217" s="104" vm="1658">
        <f ca="1"/>
        <v>45859</v>
      </c>
      <c r="C217" s="104" vm="1659">
        <f ca="1"/>
        <v>2336.1999999999998</v>
      </c>
      <c r="D217" s="105">
        <f t="shared" ca="1" si="21"/>
        <v>-1.9392209536601812E-2</v>
      </c>
      <c r="F217" s="104" vm="1658">
        <f ca="1"/>
        <v>45859</v>
      </c>
      <c r="G217" s="104" vm="1660">
        <f ca="1"/>
        <v>24837</v>
      </c>
      <c r="H217" s="105">
        <f t="shared" ca="1" si="22"/>
        <v>-5.2626519921180615E-3</v>
      </c>
      <c r="N217" s="104" vm="1658">
        <f ca="1"/>
        <v>45859</v>
      </c>
      <c r="O217" s="104" vm="1661">
        <f ca="1"/>
        <v>244.95</v>
      </c>
      <c r="P217" s="105">
        <f t="shared" ca="1" si="23"/>
        <v>-1.2696493349455884E-2</v>
      </c>
      <c r="R217" s="104" vm="1658">
        <f ca="1"/>
        <v>45859</v>
      </c>
      <c r="S217" s="104" vm="1662">
        <f ca="1"/>
        <v>558</v>
      </c>
      <c r="T217" s="105">
        <f t="shared" ca="1" si="24"/>
        <v>-3.2593619972260623E-2</v>
      </c>
      <c r="V217" s="104" vm="1658">
        <f ca="1"/>
        <v>45859</v>
      </c>
      <c r="W217" s="104" vm="1663">
        <f ca="1"/>
        <v>3605.5810000000001</v>
      </c>
      <c r="X217" s="105">
        <f t="shared" ca="1" si="25"/>
        <v>3.694325371764795E-2</v>
      </c>
      <c r="Z217" s="104" vm="1658">
        <f ca="1"/>
        <v>45859</v>
      </c>
      <c r="AA217" s="104" vm="1664">
        <f ca="1"/>
        <v>1140.4000000000001</v>
      </c>
      <c r="AB217" s="105">
        <f t="shared" ca="1" si="26"/>
        <v>-5.0537007742902151E-2</v>
      </c>
      <c r="AD217" s="104" vm="1658">
        <f ca="1"/>
        <v>45859</v>
      </c>
      <c r="AE217" s="104" vm="1665">
        <f ca="1"/>
        <v>417.35</v>
      </c>
      <c r="AF217" s="105">
        <f t="shared" ca="1" si="27"/>
        <v>-1.1136121312640634E-2</v>
      </c>
    </row>
    <row r="218" spans="2:32" x14ac:dyDescent="0.3">
      <c r="B218" s="104" vm="1666">
        <f ca="1"/>
        <v>45866</v>
      </c>
      <c r="C218" s="104" vm="1667">
        <f ca="1"/>
        <v>2431</v>
      </c>
      <c r="D218" s="105">
        <f t="shared" ca="1" si="21"/>
        <v>4.0578717575550094E-2</v>
      </c>
      <c r="F218" s="104" vm="1666">
        <f ca="1"/>
        <v>45866</v>
      </c>
      <c r="G218" s="104" vm="1668">
        <f ca="1"/>
        <v>24565.35</v>
      </c>
      <c r="H218" s="105">
        <f t="shared" ca="1" si="22"/>
        <v>-1.0937311269477057E-2</v>
      </c>
      <c r="N218" s="104" vm="1666">
        <f ca="1"/>
        <v>45866</v>
      </c>
      <c r="O218" s="104" vm="1638">
        <f ca="1"/>
        <v>250.05</v>
      </c>
      <c r="P218" s="105">
        <f t="shared" ca="1" si="23"/>
        <v>2.0820575627679139E-2</v>
      </c>
      <c r="R218" s="104" vm="1666">
        <f ca="1"/>
        <v>45866</v>
      </c>
      <c r="S218" s="104" vm="1669">
        <f ca="1"/>
        <v>566.9</v>
      </c>
      <c r="T218" s="105">
        <f t="shared" ca="1" si="24"/>
        <v>1.5949820788530467E-2</v>
      </c>
      <c r="V218" s="104" vm="1666">
        <f ca="1"/>
        <v>45866</v>
      </c>
      <c r="W218" s="104" vm="1670">
        <f ca="1"/>
        <v>3480.2835</v>
      </c>
      <c r="X218" s="105">
        <f t="shared" ca="1" si="25"/>
        <v>-3.4750987427546343E-2</v>
      </c>
      <c r="Z218" s="104" vm="1666">
        <f ca="1"/>
        <v>45866</v>
      </c>
      <c r="AA218" s="104" vm="1671">
        <f ca="1"/>
        <v>1204.5999999999999</v>
      </c>
      <c r="AB218" s="105">
        <f t="shared" ca="1" si="26"/>
        <v>5.6296036478428402E-2</v>
      </c>
      <c r="AD218" s="104" vm="1666">
        <f ca="1"/>
        <v>45866</v>
      </c>
      <c r="AE218" s="104" vm="1672">
        <f ca="1"/>
        <v>434.55</v>
      </c>
      <c r="AF218" s="105">
        <f t="shared" ca="1" si="27"/>
        <v>4.1212411644902414E-2</v>
      </c>
    </row>
    <row r="219" spans="2:32" x14ac:dyDescent="0.3">
      <c r="B219" s="104" vm="1673">
        <f ca="1"/>
        <v>45873</v>
      </c>
      <c r="C219" s="104" vm="1674">
        <f ca="1"/>
        <v>2475.6</v>
      </c>
      <c r="D219" s="105">
        <f t="shared" ca="1" si="21"/>
        <v>1.8346359522830147E-2</v>
      </c>
      <c r="F219" s="104" vm="1673">
        <f ca="1"/>
        <v>45873</v>
      </c>
      <c r="G219" s="104" vm="1675">
        <f ca="1"/>
        <v>24363.3</v>
      </c>
      <c r="H219" s="105">
        <f t="shared" ca="1" si="22"/>
        <v>-8.2249998473459263E-3</v>
      </c>
      <c r="N219" s="104" vm="1673">
        <f ca="1"/>
        <v>45873</v>
      </c>
      <c r="O219" s="104" vm="1676">
        <f ca="1"/>
        <v>232.89</v>
      </c>
      <c r="P219" s="105">
        <f t="shared" ca="1" si="23"/>
        <v>-6.8626274745051119E-2</v>
      </c>
      <c r="R219" s="104" vm="1673">
        <f ca="1"/>
        <v>45873</v>
      </c>
      <c r="S219" s="104" vm="1677">
        <f ca="1"/>
        <v>551.04999999999995</v>
      </c>
      <c r="T219" s="105">
        <f t="shared" ca="1" si="24"/>
        <v>-2.7959075674722222E-2</v>
      </c>
      <c r="V219" s="104" vm="1673">
        <f ca="1"/>
        <v>45873</v>
      </c>
      <c r="W219" s="104" vm="1678">
        <f ca="1"/>
        <v>3488.6111000000001</v>
      </c>
      <c r="X219" s="105">
        <f t="shared" ca="1" si="25"/>
        <v>2.3927935755807539E-3</v>
      </c>
      <c r="Z219" s="104" vm="1673">
        <f ca="1"/>
        <v>45873</v>
      </c>
      <c r="AA219" s="104" vm="1679">
        <f ca="1"/>
        <v>1152.4000000000001</v>
      </c>
      <c r="AB219" s="105">
        <f t="shared" ca="1" si="26"/>
        <v>-4.3333886767391472E-2</v>
      </c>
      <c r="AD219" s="104" vm="1673">
        <f ca="1"/>
        <v>45873</v>
      </c>
      <c r="AE219" s="104" vm="1680">
        <f ca="1"/>
        <v>453.1</v>
      </c>
      <c r="AF219" s="105">
        <f t="shared" ca="1" si="27"/>
        <v>4.2687837993326427E-2</v>
      </c>
    </row>
    <row r="220" spans="2:32" x14ac:dyDescent="0.3">
      <c r="B220" s="104" vm="1681">
        <f ca="1"/>
        <v>45880</v>
      </c>
      <c r="C220" s="104" vm="1682">
        <f ca="1"/>
        <v>2528.6999999999998</v>
      </c>
      <c r="D220" s="105">
        <f t="shared" ca="1" si="21"/>
        <v>2.1449345613184567E-2</v>
      </c>
      <c r="F220" s="104" vm="1681">
        <f ca="1"/>
        <v>45880</v>
      </c>
      <c r="G220" s="104" vm="1683">
        <f ca="1"/>
        <v>24631.3</v>
      </c>
      <c r="H220" s="105">
        <f t="shared" ca="1" si="22"/>
        <v>1.100015186776826E-2</v>
      </c>
      <c r="N220" s="104" vm="1681">
        <f ca="1"/>
        <v>45880</v>
      </c>
      <c r="O220" s="104" vm="1684">
        <f ca="1"/>
        <v>235.45</v>
      </c>
      <c r="P220" s="105">
        <f t="shared" ca="1" si="23"/>
        <v>1.0992313967967737E-2</v>
      </c>
      <c r="R220" s="104" vm="1681">
        <f ca="1"/>
        <v>45880</v>
      </c>
      <c r="S220" s="104" vm="1685">
        <f ca="1"/>
        <v>533.45000000000005</v>
      </c>
      <c r="T220" s="105">
        <f t="shared" ca="1" si="24"/>
        <v>-3.1939025496778739E-2</v>
      </c>
      <c r="V220" s="104" vm="1681">
        <f ca="1"/>
        <v>45880</v>
      </c>
      <c r="W220" s="104" vm="1686">
        <f ca="1"/>
        <v>3421</v>
      </c>
      <c r="X220" s="105">
        <f t="shared" ca="1" si="25"/>
        <v>-1.9380520803823686E-2</v>
      </c>
      <c r="Z220" s="104" vm="1681">
        <f ca="1"/>
        <v>45880</v>
      </c>
      <c r="AA220" s="104" vm="1687">
        <f ca="1"/>
        <v>1107.2</v>
      </c>
      <c r="AB220" s="105">
        <f t="shared" ca="1" si="26"/>
        <v>-3.9222492190211788E-2</v>
      </c>
      <c r="AD220" s="104" vm="1681">
        <f ca="1"/>
        <v>45880</v>
      </c>
      <c r="AE220" s="104" vm="1688">
        <f ca="1"/>
        <v>464.5</v>
      </c>
      <c r="AF220" s="105">
        <f t="shared" ca="1" si="27"/>
        <v>2.5160008828073233E-2</v>
      </c>
    </row>
    <row r="221" spans="2:32" x14ac:dyDescent="0.3">
      <c r="B221" s="104" vm="1689">
        <f ca="1"/>
        <v>45887</v>
      </c>
      <c r="C221" s="104" vm="1690">
        <f ca="1"/>
        <v>2504.5</v>
      </c>
      <c r="D221" s="105">
        <f t="shared" ca="1" si="21"/>
        <v>-9.5701348519001694E-3</v>
      </c>
      <c r="F221" s="104" vm="1689">
        <f ca="1"/>
        <v>45887</v>
      </c>
      <c r="G221" s="104" vm="1691">
        <f ca="1"/>
        <v>24870.1</v>
      </c>
      <c r="H221" s="105">
        <f t="shared" ca="1" si="22"/>
        <v>9.6949815884666002E-3</v>
      </c>
      <c r="N221" s="104" vm="1689">
        <f ca="1"/>
        <v>45887</v>
      </c>
      <c r="O221" s="104" vm="1692">
        <f ca="1"/>
        <v>232.62</v>
      </c>
      <c r="P221" s="105">
        <f t="shared" ca="1" si="23"/>
        <v>-1.2019537056699892E-2</v>
      </c>
      <c r="R221" s="104" vm="1689">
        <f ca="1"/>
        <v>45887</v>
      </c>
      <c r="S221" s="104" vm="1693">
        <f ca="1"/>
        <v>527</v>
      </c>
      <c r="T221" s="105">
        <f t="shared" ca="1" si="24"/>
        <v>-1.2091105070765829E-2</v>
      </c>
      <c r="V221" s="104" vm="1689">
        <f ca="1"/>
        <v>45887</v>
      </c>
      <c r="W221" s="104" vm="1694">
        <f ca="1"/>
        <v>3399.6</v>
      </c>
      <c r="X221" s="105">
        <f t="shared" ca="1" si="25"/>
        <v>-6.2554808535516537E-3</v>
      </c>
      <c r="Z221" s="104" vm="1689">
        <f ca="1"/>
        <v>45887</v>
      </c>
      <c r="AA221" s="104" vm="1695">
        <f ca="1"/>
        <v>1133.5</v>
      </c>
      <c r="AB221" s="105">
        <f t="shared" ca="1" si="26"/>
        <v>2.3753612716763017E-2</v>
      </c>
      <c r="AD221" s="104" vm="1689">
        <f ca="1"/>
        <v>45887</v>
      </c>
      <c r="AE221" s="104" vm="1696">
        <f ca="1"/>
        <v>458.85</v>
      </c>
      <c r="AF221" s="105">
        <f t="shared" ca="1" si="27"/>
        <v>-1.2163616792249643E-2</v>
      </c>
    </row>
    <row r="222" spans="2:32" x14ac:dyDescent="0.3">
      <c r="B222" s="104" vm="1697">
        <f ca="1"/>
        <v>45894</v>
      </c>
      <c r="C222" s="104" vm="1698">
        <f ca="1"/>
        <v>2518.6</v>
      </c>
      <c r="D222" s="105">
        <f t="shared" ca="1" si="21"/>
        <v>5.6298662407665567E-3</v>
      </c>
      <c r="F222" s="104" vm="1697">
        <f ca="1"/>
        <v>45894</v>
      </c>
      <c r="G222" s="104" vm="1699">
        <f ca="1"/>
        <v>24426.85</v>
      </c>
      <c r="H222" s="105">
        <f t="shared" ca="1" si="22"/>
        <v>-1.7822606262138052E-2</v>
      </c>
      <c r="N222" s="104" vm="1697">
        <f ca="1"/>
        <v>45894</v>
      </c>
      <c r="O222" s="104" vm="1700">
        <f ca="1"/>
        <v>239.99</v>
      </c>
      <c r="P222" s="105">
        <f t="shared" ca="1" si="23"/>
        <v>3.1682572435732137E-2</v>
      </c>
      <c r="R222" s="104" vm="1697">
        <f ca="1"/>
        <v>45894</v>
      </c>
      <c r="S222" s="104" vm="1701">
        <f ca="1"/>
        <v>533</v>
      </c>
      <c r="T222" s="105">
        <f t="shared" ca="1" si="24"/>
        <v>1.1385199240986799E-2</v>
      </c>
      <c r="V222" s="104" vm="1697">
        <f ca="1"/>
        <v>45894</v>
      </c>
      <c r="W222" s="104" vm="1702">
        <f ca="1"/>
        <v>3410.6</v>
      </c>
      <c r="X222" s="105">
        <f t="shared" ca="1" si="25"/>
        <v>3.2356747852688716E-3</v>
      </c>
      <c r="Z222" s="104" vm="1697">
        <f ca="1"/>
        <v>45894</v>
      </c>
      <c r="AA222" s="104" vm="1703">
        <f ca="1"/>
        <v>1099.7</v>
      </c>
      <c r="AB222" s="105">
        <f t="shared" ca="1" si="26"/>
        <v>-2.9819144243493523E-2</v>
      </c>
      <c r="AD222" s="104" vm="1697">
        <f ca="1"/>
        <v>45894</v>
      </c>
      <c r="AE222" s="104" vm="1704">
        <f ca="1"/>
        <v>462.75</v>
      </c>
      <c r="AF222" s="105">
        <f t="shared" ca="1" si="27"/>
        <v>8.4995096436744078E-3</v>
      </c>
    </row>
    <row r="223" spans="2:32" x14ac:dyDescent="0.3">
      <c r="B223" s="104" vm="1705">
        <f ca="1"/>
        <v>45901</v>
      </c>
      <c r="C223" s="104" vm="1706">
        <f ca="1"/>
        <v>2579.9</v>
      </c>
      <c r="D223" s="105">
        <f t="shared" ca="1" si="21"/>
        <v>2.4338918446756175E-2</v>
      </c>
      <c r="F223" s="104" vm="1705">
        <f ca="1"/>
        <v>45901</v>
      </c>
      <c r="G223" s="104" vm="1707">
        <f ca="1"/>
        <v>24741</v>
      </c>
      <c r="H223" s="105">
        <f t="shared" ca="1" si="22"/>
        <v>1.2860847796584585E-2</v>
      </c>
      <c r="N223" s="104" vm="1705">
        <f ca="1"/>
        <v>45901</v>
      </c>
      <c r="O223" s="104" vm="1708">
        <f ca="1"/>
        <v>242.88</v>
      </c>
      <c r="P223" s="105">
        <f t="shared" ca="1" si="23"/>
        <v>1.2042168423684219E-2</v>
      </c>
      <c r="R223" s="104" vm="1705">
        <f ca="1"/>
        <v>45901</v>
      </c>
      <c r="S223" s="104" vm="1709">
        <f ca="1"/>
        <v>538.70000000000005</v>
      </c>
      <c r="T223" s="105">
        <f t="shared" ca="1" si="24"/>
        <v>1.0694183864915718E-2</v>
      </c>
      <c r="V223" s="104" vm="1705">
        <f ca="1"/>
        <v>45901</v>
      </c>
      <c r="W223" s="104" vm="1710">
        <f ca="1"/>
        <v>3382.8</v>
      </c>
      <c r="X223" s="105">
        <f t="shared" ca="1" si="25"/>
        <v>-8.1510584647861428E-3</v>
      </c>
      <c r="Z223" s="104" vm="1705">
        <f ca="1"/>
        <v>45901</v>
      </c>
      <c r="AA223" s="104" vm="1711">
        <f ca="1"/>
        <v>1145.4000000000001</v>
      </c>
      <c r="AB223" s="105">
        <f t="shared" ca="1" si="26"/>
        <v>4.1556788214967666E-2</v>
      </c>
      <c r="AD223" s="104" vm="1705">
        <f ca="1"/>
        <v>45901</v>
      </c>
      <c r="AE223" s="104" vm="1712">
        <f ca="1"/>
        <v>467.75</v>
      </c>
      <c r="AF223" s="105">
        <f t="shared" ca="1" si="27"/>
        <v>1.0804970286331761E-2</v>
      </c>
    </row>
    <row r="224" spans="2:32" x14ac:dyDescent="0.3">
      <c r="B224" s="104" vm="1713">
        <f ca="1"/>
        <v>45908</v>
      </c>
      <c r="C224" s="104" vm="1714">
        <f ca="1"/>
        <v>2546.3000000000002</v>
      </c>
      <c r="D224" s="105">
        <f t="shared" ca="1" si="21"/>
        <v>-1.30237606108764E-2</v>
      </c>
      <c r="F224" s="104" vm="1713">
        <f ca="1"/>
        <v>45908</v>
      </c>
      <c r="G224" s="104" vm="1715">
        <f ca="1"/>
        <v>25114</v>
      </c>
      <c r="H224" s="105">
        <f t="shared" ca="1" si="22"/>
        <v>1.5076189321369338E-2</v>
      </c>
      <c r="N224" s="104" vm="1713">
        <f ca="1"/>
        <v>45908</v>
      </c>
      <c r="O224" s="104" vm="1716">
        <f ca="1"/>
        <v>247.54</v>
      </c>
      <c r="P224" s="105">
        <f t="shared" ca="1" si="23"/>
        <v>1.9186429512516368E-2</v>
      </c>
      <c r="R224" s="104" vm="1713">
        <f ca="1"/>
        <v>45908</v>
      </c>
      <c r="S224" s="104" vm="1717">
        <f ca="1"/>
        <v>539.35</v>
      </c>
      <c r="T224" s="105">
        <f t="shared" ca="1" si="24"/>
        <v>1.2066085019490913E-3</v>
      </c>
      <c r="V224" s="104" vm="1713">
        <f ca="1"/>
        <v>45908</v>
      </c>
      <c r="W224" s="104" vm="1718">
        <f ca="1"/>
        <v>3366.2</v>
      </c>
      <c r="X224" s="105">
        <f t="shared" ca="1" si="25"/>
        <v>-4.9071774861062512E-3</v>
      </c>
      <c r="Z224" s="104" vm="1713">
        <f ca="1"/>
        <v>45908</v>
      </c>
      <c r="AA224" s="104" vm="1719">
        <f ca="1"/>
        <v>1146.5</v>
      </c>
      <c r="AB224" s="105">
        <f t="shared" ca="1" si="26"/>
        <v>9.603631918979616E-4</v>
      </c>
      <c r="AD224" s="104" vm="1713">
        <f ca="1"/>
        <v>45908</v>
      </c>
      <c r="AE224" s="104" vm="1720">
        <f ca="1"/>
        <v>465.9</v>
      </c>
      <c r="AF224" s="105">
        <f t="shared" ca="1" si="27"/>
        <v>-3.9551042223410215E-3</v>
      </c>
    </row>
    <row r="225" spans="2:32" x14ac:dyDescent="0.3">
      <c r="B225" s="104" vm="1721">
        <f ca="1"/>
        <v>45915</v>
      </c>
      <c r="C225" s="104" vm="1722">
        <f ca="1"/>
        <v>2481.6999999999998</v>
      </c>
      <c r="D225" s="105">
        <f t="shared" ca="1" si="21"/>
        <v>-2.537014491615297E-2</v>
      </c>
      <c r="F225" s="104" vm="1721">
        <f ca="1"/>
        <v>45915</v>
      </c>
      <c r="G225" s="104" vm="1723">
        <f ca="1"/>
        <v>25327.05</v>
      </c>
      <c r="H225" s="105">
        <f t="shared" ca="1" si="22"/>
        <v>8.4833160786812467E-3</v>
      </c>
      <c r="N225" s="104" vm="1721">
        <f ca="1"/>
        <v>45915</v>
      </c>
      <c r="O225" s="104" vm="1724">
        <f ca="1"/>
        <v>251.85</v>
      </c>
      <c r="P225" s="105">
        <f t="shared" ca="1" si="23"/>
        <v>1.7411327462228288E-2</v>
      </c>
      <c r="R225" s="104" vm="1721">
        <f ca="1"/>
        <v>45915</v>
      </c>
      <c r="S225" s="104" vm="1725">
        <f ca="1"/>
        <v>531.6</v>
      </c>
      <c r="T225" s="105">
        <f t="shared" ca="1" si="24"/>
        <v>-1.436914804857703E-2</v>
      </c>
      <c r="V225" s="104" vm="1721">
        <f ca="1"/>
        <v>45915</v>
      </c>
      <c r="W225" s="104" vm="1726">
        <f ca="1"/>
        <v>3374.8</v>
      </c>
      <c r="X225" s="105">
        <f t="shared" ca="1" si="25"/>
        <v>2.5548095775653756E-3</v>
      </c>
      <c r="Z225" s="104" vm="1721">
        <f ca="1"/>
        <v>45915</v>
      </c>
      <c r="AA225" s="104" vm="1727">
        <f ca="1"/>
        <v>1123</v>
      </c>
      <c r="AB225" s="105">
        <f t="shared" ca="1" si="26"/>
        <v>-2.049716528565193E-2</v>
      </c>
      <c r="AD225" s="104" vm="1721">
        <f ca="1"/>
        <v>45915</v>
      </c>
      <c r="AE225" s="104" vm="1728">
        <f ca="1"/>
        <v>489.7</v>
      </c>
      <c r="AF225" s="105">
        <f t="shared" ca="1" si="27"/>
        <v>5.1083923588753022E-2</v>
      </c>
    </row>
    <row r="226" spans="2:32" x14ac:dyDescent="0.3">
      <c r="B226" s="104" vm="1729">
        <f ca="1"/>
        <v>45922</v>
      </c>
      <c r="C226" s="104" vm="1730">
        <f ca="1"/>
        <v>2342.8000000000002</v>
      </c>
      <c r="D226" s="105">
        <f t="shared" ca="1" si="21"/>
        <v>-5.5969698190756145E-2</v>
      </c>
      <c r="F226" s="104" vm="1729">
        <f ca="1"/>
        <v>45922</v>
      </c>
      <c r="G226" s="104" vm="1731">
        <f ca="1"/>
        <v>24654.7</v>
      </c>
      <c r="H226" s="105">
        <f t="shared" ca="1" si="22"/>
        <v>-2.6546715863079107E-2</v>
      </c>
      <c r="N226" s="104" vm="1729">
        <f ca="1"/>
        <v>45922</v>
      </c>
      <c r="O226" s="104" vm="1732">
        <f ca="1"/>
        <v>246.58</v>
      </c>
      <c r="P226" s="105">
        <f t="shared" ca="1" si="23"/>
        <v>-2.092515386142535E-2</v>
      </c>
      <c r="R226" s="104" vm="1729">
        <f ca="1"/>
        <v>45922</v>
      </c>
      <c r="S226" s="104" vm="1733">
        <f ca="1"/>
        <v>521.45000000000005</v>
      </c>
      <c r="T226" s="105">
        <f t="shared" ca="1" si="24"/>
        <v>-1.9093303235515391E-2</v>
      </c>
      <c r="V226" s="104" vm="1729">
        <f ca="1"/>
        <v>45922</v>
      </c>
      <c r="W226" s="104" vm="1734">
        <f ca="1"/>
        <v>3354.6</v>
      </c>
      <c r="X226" s="105">
        <f t="shared" ca="1" si="25"/>
        <v>-5.9855398838450924E-3</v>
      </c>
      <c r="Z226" s="104" vm="1729">
        <f ca="1"/>
        <v>45922</v>
      </c>
      <c r="AA226" s="104" vm="1735">
        <f ca="1"/>
        <v>1090.5999999999999</v>
      </c>
      <c r="AB226" s="105">
        <f t="shared" ca="1" si="26"/>
        <v>-2.8851291184327721E-2</v>
      </c>
      <c r="AD226" s="104" vm="1729">
        <f ca="1"/>
        <v>45922</v>
      </c>
      <c r="AE226" s="104" vm="1736">
        <f ca="1"/>
        <v>483.75</v>
      </c>
      <c r="AF226" s="105">
        <f t="shared" ca="1" si="27"/>
        <v>-1.2150296099652791E-2</v>
      </c>
    </row>
    <row r="227" spans="2:32" x14ac:dyDescent="0.3">
      <c r="B227" s="104" vm="1737">
        <f ca="1"/>
        <v>45929</v>
      </c>
      <c r="C227" s="104" vm="1738">
        <f ca="1"/>
        <v>2357.8000000000002</v>
      </c>
      <c r="D227" s="105">
        <f t="shared" ca="1" si="21"/>
        <v>6.4025951852484386E-3</v>
      </c>
      <c r="F227" s="104" vm="1737">
        <f ca="1"/>
        <v>45929</v>
      </c>
      <c r="G227" s="104" vm="1739">
        <f ca="1"/>
        <v>24894.25</v>
      </c>
      <c r="H227" s="105">
        <f t="shared" ca="1" si="22"/>
        <v>9.7162001565624934E-3</v>
      </c>
      <c r="N227" s="104" vm="1737">
        <f ca="1"/>
        <v>45929</v>
      </c>
      <c r="O227" s="104" vm="1740">
        <f ca="1"/>
        <v>252.36</v>
      </c>
      <c r="P227" s="105">
        <f t="shared" ca="1" si="23"/>
        <v>2.3440668342931348E-2</v>
      </c>
      <c r="R227" s="104" vm="1737">
        <f ca="1"/>
        <v>45929</v>
      </c>
      <c r="S227" s="104" vm="1741">
        <f ca="1"/>
        <v>542.6</v>
      </c>
      <c r="T227" s="105">
        <f t="shared" ca="1" si="24"/>
        <v>4.0559976987247115E-2</v>
      </c>
      <c r="V227" s="104" vm="1737">
        <f ca="1"/>
        <v>45929</v>
      </c>
      <c r="W227" s="104" vm="1742">
        <f ca="1"/>
        <v>3343.8</v>
      </c>
      <c r="X227" s="105">
        <f t="shared" ca="1" si="25"/>
        <v>-3.2194598461813273E-3</v>
      </c>
      <c r="Z227" s="104" vm="1737">
        <f ca="1"/>
        <v>45929</v>
      </c>
      <c r="AA227" s="104" vm="1743">
        <f ca="1"/>
        <v>1084.0999999999999</v>
      </c>
      <c r="AB227" s="105">
        <f t="shared" ca="1" si="26"/>
        <v>-5.9600220062351328E-3</v>
      </c>
      <c r="AD227" s="104" vm="1737">
        <f ca="1"/>
        <v>45929</v>
      </c>
      <c r="AE227" s="104" vm="1744">
        <f ca="1"/>
        <v>490.8</v>
      </c>
      <c r="AF227" s="105">
        <f t="shared" ca="1" si="27"/>
        <v>1.4573643410852766E-2</v>
      </c>
    </row>
    <row r="228" spans="2:32" x14ac:dyDescent="0.3">
      <c r="B228" s="104" vm="1745">
        <f ca="1"/>
        <v>45936</v>
      </c>
      <c r="C228" s="104" vm="1746">
        <f ca="1"/>
        <v>2340.1999999999998</v>
      </c>
      <c r="D228" s="105">
        <f t="shared" ca="1" si="21"/>
        <v>-7.4645856306727598E-3</v>
      </c>
      <c r="F228" s="104" vm="1745">
        <f ca="1"/>
        <v>45936</v>
      </c>
      <c r="G228" s="104" vm="1747">
        <f ca="1"/>
        <v>25285.35</v>
      </c>
      <c r="H228" s="105">
        <f t="shared" ca="1" si="22"/>
        <v>1.5710455225604214E-2</v>
      </c>
      <c r="N228" s="104" vm="1745">
        <f ca="1"/>
        <v>45936</v>
      </c>
      <c r="O228" s="104" vm="1748">
        <f ca="1"/>
        <v>247.5</v>
      </c>
      <c r="P228" s="105">
        <f t="shared" ca="1" si="23"/>
        <v>-1.9258202567760341E-2</v>
      </c>
      <c r="R228" s="104" vm="1745">
        <f ca="1"/>
        <v>45936</v>
      </c>
      <c r="S228" s="104" vm="1749">
        <f ca="1"/>
        <v>535.15</v>
      </c>
      <c r="T228" s="105">
        <f t="shared" ca="1" si="24"/>
        <v>-1.3730187983781894E-2</v>
      </c>
      <c r="V228" s="104" vm="1745">
        <f ca="1"/>
        <v>45936</v>
      </c>
      <c r="W228" s="104" vm="1750">
        <f ca="1"/>
        <v>3344.9</v>
      </c>
      <c r="X228" s="105">
        <f t="shared" ca="1" si="25"/>
        <v>3.2896704348339689E-4</v>
      </c>
      <c r="Z228" s="104" vm="1745">
        <f ca="1"/>
        <v>45936</v>
      </c>
      <c r="AA228" s="104" vm="1751">
        <f ca="1"/>
        <v>1051.4000000000001</v>
      </c>
      <c r="AB228" s="105">
        <f t="shared" ca="1" si="26"/>
        <v>-3.016326907111877E-2</v>
      </c>
      <c r="AD228" s="104" vm="1745">
        <f ca="1"/>
        <v>45936</v>
      </c>
      <c r="AE228" s="104" vm="1752">
        <f ca="1"/>
        <v>488.5</v>
      </c>
      <c r="AF228" s="105">
        <f t="shared" ca="1" si="27"/>
        <v>-4.6862265688671911E-3</v>
      </c>
    </row>
    <row r="229" spans="2:32" x14ac:dyDescent="0.3">
      <c r="B229" s="104" vm="1753">
        <f ca="1"/>
        <v>45943</v>
      </c>
      <c r="C229" s="104" vm="1754">
        <f ca="1"/>
        <v>2507.8000000000002</v>
      </c>
      <c r="D229" s="105">
        <f t="shared" ca="1" si="21"/>
        <v>7.1617810443552088E-2</v>
      </c>
      <c r="F229" s="104" vm="1753">
        <f ca="1"/>
        <v>45943</v>
      </c>
      <c r="G229" s="104" vm="1755">
        <f ca="1"/>
        <v>25709.85</v>
      </c>
      <c r="H229" s="105">
        <f t="shared" ca="1" si="22"/>
        <v>1.6788377459675319E-2</v>
      </c>
      <c r="N229" s="104" vm="1753">
        <f ca="1"/>
        <v>45943</v>
      </c>
      <c r="O229" s="104" vm="1756">
        <f ca="1"/>
        <v>253.26</v>
      </c>
      <c r="P229" s="105">
        <f t="shared" ca="1" si="23"/>
        <v>2.3272727272727334E-2</v>
      </c>
      <c r="R229" s="104" vm="1753">
        <f ca="1"/>
        <v>45943</v>
      </c>
      <c r="S229" s="104" vm="1757">
        <f ca="1"/>
        <v>544.9</v>
      </c>
      <c r="T229" s="105">
        <f t="shared" ca="1" si="24"/>
        <v>1.8219190881061387E-2</v>
      </c>
      <c r="V229" s="104" vm="1753">
        <f ca="1"/>
        <v>45943</v>
      </c>
      <c r="W229" s="104" vm="1758">
        <f ca="1"/>
        <v>3395.4</v>
      </c>
      <c r="X229" s="105">
        <f t="shared" ca="1" si="25"/>
        <v>1.5097611288827695E-2</v>
      </c>
      <c r="Z229" s="104" vm="1753">
        <f ca="1"/>
        <v>45943</v>
      </c>
      <c r="AA229" s="104" vm="1759">
        <f ca="1"/>
        <v>1028.5999999999999</v>
      </c>
      <c r="AB229" s="105">
        <f t="shared" ca="1" si="26"/>
        <v>-2.1685371885105775E-2</v>
      </c>
      <c r="AD229" s="104" vm="1753">
        <f ca="1"/>
        <v>45943</v>
      </c>
      <c r="AE229" s="104" vm="1760">
        <f ca="1"/>
        <v>493.65</v>
      </c>
      <c r="AF229" s="105">
        <f t="shared" ca="1" si="27"/>
        <v>1.0542476970317294E-2</v>
      </c>
    </row>
    <row r="230" spans="2:32" x14ac:dyDescent="0.3">
      <c r="B230" s="104" vm="1761">
        <f ca="1"/>
        <v>45950</v>
      </c>
      <c r="C230" s="104" vm="1762">
        <f ca="1"/>
        <v>2501.6</v>
      </c>
      <c r="D230" s="105">
        <f t="shared" ca="1" si="21"/>
        <v>-2.4722864662254374E-3</v>
      </c>
      <c r="F230" s="104" vm="1761">
        <f ca="1"/>
        <v>45950</v>
      </c>
      <c r="G230" s="104" vm="1763">
        <f ca="1"/>
        <v>25795.15</v>
      </c>
      <c r="H230" s="105">
        <f t="shared" ca="1" si="22"/>
        <v>3.3177945417808274E-3</v>
      </c>
      <c r="N230" s="104" vm="1761">
        <f ca="1"/>
        <v>45950</v>
      </c>
      <c r="O230" s="104" vm="1764">
        <f ca="1"/>
        <v>253.97</v>
      </c>
      <c r="P230" s="105">
        <f t="shared" ca="1" si="23"/>
        <v>2.8034431019505757E-3</v>
      </c>
      <c r="R230" s="104" vm="1761">
        <f ca="1"/>
        <v>45950</v>
      </c>
      <c r="S230" s="104" vm="1765">
        <f ca="1"/>
        <v>545.65</v>
      </c>
      <c r="T230" s="105">
        <f t="shared" ca="1" si="24"/>
        <v>1.3763993393283158E-3</v>
      </c>
      <c r="V230" s="104" vm="1761">
        <f ca="1"/>
        <v>45950</v>
      </c>
      <c r="W230" s="104" vm="1766">
        <f ca="1"/>
        <v>3283.5</v>
      </c>
      <c r="X230" s="105">
        <f t="shared" ca="1" si="25"/>
        <v>-3.295635271249342E-2</v>
      </c>
      <c r="Z230" s="104" vm="1761">
        <f ca="1"/>
        <v>45950</v>
      </c>
      <c r="AA230" s="104" vm="1767">
        <f ca="1"/>
        <v>1032.5999999999999</v>
      </c>
      <c r="AB230" s="105">
        <f t="shared" ca="1" si="26"/>
        <v>3.8887808671981272E-3</v>
      </c>
      <c r="AD230" s="104" vm="1761">
        <f ca="1"/>
        <v>45950</v>
      </c>
      <c r="AE230" s="104" vm="1768">
        <f ca="1"/>
        <v>501.9</v>
      </c>
      <c r="AF230" s="105">
        <f t="shared" ca="1" si="27"/>
        <v>1.6712245518079705E-2</v>
      </c>
    </row>
    <row r="231" spans="2:32" x14ac:dyDescent="0.3">
      <c r="B231" s="104" vm="1769">
        <f ca="1"/>
        <v>45957</v>
      </c>
      <c r="C231" s="104" vm="1770">
        <f ca="1"/>
        <v>2510.8000000000002</v>
      </c>
      <c r="D231" s="105">
        <f t="shared" ca="1" si="21"/>
        <v>3.6776463063641351E-3</v>
      </c>
      <c r="F231" s="104" vm="1769">
        <f ca="1"/>
        <v>45957</v>
      </c>
      <c r="G231" s="104" vm="1771">
        <f ca="1"/>
        <v>25722.1</v>
      </c>
      <c r="H231" s="105">
        <f t="shared" ca="1" si="22"/>
        <v>-2.8319277073404203E-3</v>
      </c>
      <c r="N231" s="104" vm="1769">
        <f ca="1"/>
        <v>45957</v>
      </c>
      <c r="O231" s="104" vm="1772">
        <f ca="1"/>
        <v>247.96</v>
      </c>
      <c r="P231" s="105">
        <f t="shared" ca="1" si="23"/>
        <v>-2.3664212308540322E-2</v>
      </c>
      <c r="R231" s="104" vm="1769">
        <f ca="1"/>
        <v>45957</v>
      </c>
      <c r="S231" s="104" vm="1773">
        <f ca="1"/>
        <v>542.1</v>
      </c>
      <c r="T231" s="105">
        <f t="shared" ca="1" si="24"/>
        <v>-6.5060020159442011E-3</v>
      </c>
      <c r="V231" s="104" vm="1769">
        <f ca="1"/>
        <v>45957</v>
      </c>
      <c r="W231" s="104" vm="1774">
        <f ca="1"/>
        <v>3241.7</v>
      </c>
      <c r="X231" s="105">
        <f t="shared" ca="1" si="25"/>
        <v>-1.2730318257956452E-2</v>
      </c>
      <c r="Z231" s="104" vm="1769">
        <f ca="1"/>
        <v>45957</v>
      </c>
      <c r="AA231" s="104" vm="1775">
        <f ca="1"/>
        <v>999.9</v>
      </c>
      <c r="AB231" s="105">
        <f t="shared" ca="1" si="26"/>
        <v>-3.1667635095874447E-2</v>
      </c>
      <c r="AD231" s="104" vm="1769">
        <f ca="1"/>
        <v>45957</v>
      </c>
      <c r="AE231" s="104" vm="1776">
        <f ca="1"/>
        <v>519.1</v>
      </c>
      <c r="AF231" s="105">
        <f t="shared" ca="1" si="27"/>
        <v>3.426977485554894E-2</v>
      </c>
    </row>
    <row r="232" spans="2:32" x14ac:dyDescent="0.3">
      <c r="B232" s="104" vm="1777">
        <f ca="1"/>
        <v>45964</v>
      </c>
      <c r="C232" s="104" vm="1778">
        <f ca="1"/>
        <v>2613.8000000000002</v>
      </c>
      <c r="D232" s="105">
        <f t="shared" ca="1" si="21"/>
        <v>4.1022781583559098E-2</v>
      </c>
      <c r="F232" s="104" vm="1777">
        <f ca="1"/>
        <v>45964</v>
      </c>
      <c r="G232" s="104" vm="1779">
        <f ca="1"/>
        <v>25492.3</v>
      </c>
      <c r="H232" s="105">
        <f t="shared" ca="1" si="22"/>
        <v>-8.9339517379996014E-3</v>
      </c>
      <c r="N232" s="104" vm="1777">
        <f ca="1"/>
        <v>45964</v>
      </c>
      <c r="O232" s="104" vm="1780">
        <f ca="1"/>
        <v>246.32</v>
      </c>
      <c r="P232" s="105">
        <f t="shared" ca="1" si="23"/>
        <v>-6.6139699951606179E-3</v>
      </c>
      <c r="R232" s="104" vm="1777">
        <f ca="1"/>
        <v>45964</v>
      </c>
      <c r="S232" s="104" vm="1781">
        <f ca="1"/>
        <v>531.04999999999995</v>
      </c>
      <c r="T232" s="105">
        <f t="shared" ca="1" si="24"/>
        <v>-2.0383693045563644E-2</v>
      </c>
      <c r="V232" s="104" vm="1777">
        <f ca="1"/>
        <v>45964</v>
      </c>
      <c r="W232" s="104" vm="1782">
        <f ca="1"/>
        <v>3262.3</v>
      </c>
      <c r="X232" s="105">
        <f t="shared" ca="1" si="25"/>
        <v>6.354690440201205E-3</v>
      </c>
      <c r="Z232" s="104" vm="1777">
        <f ca="1"/>
        <v>45964</v>
      </c>
      <c r="AA232" s="104" vm="1783">
        <f ca="1"/>
        <v>1004.1</v>
      </c>
      <c r="AB232" s="105">
        <f t="shared" ca="1" si="26"/>
        <v>4.2004200420042714E-3</v>
      </c>
      <c r="AD232" s="104" vm="1777">
        <f ca="1"/>
        <v>45964</v>
      </c>
      <c r="AE232" s="104" vm="1784">
        <f ca="1"/>
        <v>510.2</v>
      </c>
      <c r="AF232" s="105">
        <f t="shared" ca="1" si="27"/>
        <v>-1.7145058755538511E-2</v>
      </c>
    </row>
    <row r="233" spans="2:32" x14ac:dyDescent="0.3">
      <c r="B233" s="104" vm="1785">
        <f ca="1"/>
        <v>45971</v>
      </c>
      <c r="C233" s="104" vm="1786">
        <f ca="1"/>
        <v>2906.4</v>
      </c>
      <c r="D233" s="105">
        <f t="shared" ca="1" si="21"/>
        <v>0.11194429566148889</v>
      </c>
      <c r="F233" s="104" vm="1785">
        <f ca="1"/>
        <v>45971</v>
      </c>
      <c r="G233" s="104" vm="1787">
        <f ca="1"/>
        <v>25910.05</v>
      </c>
      <c r="H233" s="105">
        <f t="shared" ca="1" si="22"/>
        <v>1.6387301263518728E-2</v>
      </c>
      <c r="N233" s="104" vm="1785">
        <f ca="1"/>
        <v>45971</v>
      </c>
      <c r="O233" s="104" vm="1788">
        <f ca="1"/>
        <v>248.8</v>
      </c>
      <c r="P233" s="105">
        <f t="shared" ca="1" si="23"/>
        <v>1.0068203962325439E-2</v>
      </c>
      <c r="R233" s="104" vm="1785">
        <f ca="1"/>
        <v>45971</v>
      </c>
      <c r="S233" s="104" vm="1789">
        <f ca="1"/>
        <v>579.54999999999995</v>
      </c>
      <c r="T233" s="105">
        <f t="shared" ca="1" si="24"/>
        <v>9.1328500141229618E-2</v>
      </c>
      <c r="V233" s="104" vm="1785">
        <f ca="1"/>
        <v>45971</v>
      </c>
      <c r="W233" s="104" vm="1790">
        <f ca="1"/>
        <v>3359.3</v>
      </c>
      <c r="X233" s="105">
        <f t="shared" ca="1" si="25"/>
        <v>2.9733623517150365E-2</v>
      </c>
      <c r="Z233" s="104" vm="1785">
        <f ca="1"/>
        <v>45971</v>
      </c>
      <c r="AA233" s="104" vm="1791">
        <f ca="1"/>
        <v>1298.8</v>
      </c>
      <c r="AB233" s="105">
        <f t="shared" ca="1" si="26"/>
        <v>0.29349666367891647</v>
      </c>
      <c r="AD233" s="104" vm="1785">
        <f ca="1"/>
        <v>45971</v>
      </c>
      <c r="AE233" s="104" vm="1792">
        <f ca="1"/>
        <v>520.1</v>
      </c>
      <c r="AF233" s="105">
        <f t="shared" ca="1" si="27"/>
        <v>1.9404155233242015E-2</v>
      </c>
    </row>
    <row r="234" spans="2:32" x14ac:dyDescent="0.3">
      <c r="B234" s="104" vm="1793">
        <f ca="1"/>
        <v>45978</v>
      </c>
      <c r="C234" s="104" vm="1794">
        <f ca="1"/>
        <v>2876.6</v>
      </c>
      <c r="D234" s="105">
        <f t="shared" ca="1" si="21"/>
        <v>-1.025323424167357E-2</v>
      </c>
      <c r="F234" s="104" vm="1793">
        <f ca="1"/>
        <v>45978</v>
      </c>
      <c r="G234" s="104" vm="1795">
        <f ca="1"/>
        <v>26068.15</v>
      </c>
      <c r="H234" s="105">
        <f t="shared" ca="1" si="22"/>
        <v>6.1018793865701415E-3</v>
      </c>
      <c r="N234" s="104" vm="1793">
        <f ca="1"/>
        <v>45978</v>
      </c>
      <c r="O234" s="104" vm="1796">
        <f ca="1"/>
        <v>232.8</v>
      </c>
      <c r="P234" s="105">
        <f t="shared" ca="1" si="23"/>
        <v>-6.4308681672025747E-2</v>
      </c>
      <c r="R234" s="104" vm="1793">
        <f ca="1"/>
        <v>45978</v>
      </c>
      <c r="S234" s="104" vm="1789">
        <f ca="1"/>
        <v>579.54999999999995</v>
      </c>
      <c r="T234" s="105">
        <f t="shared" ca="1" si="24"/>
        <v>0</v>
      </c>
      <c r="V234" s="104" vm="1793">
        <f ca="1"/>
        <v>45978</v>
      </c>
      <c r="W234" s="104" vm="1797">
        <f ca="1"/>
        <v>3385</v>
      </c>
      <c r="X234" s="105">
        <f t="shared" ca="1" si="25"/>
        <v>7.6504033578423947E-3</v>
      </c>
      <c r="Z234" s="104" vm="1793">
        <f ca="1"/>
        <v>45978</v>
      </c>
      <c r="AA234" s="104" vm="1798">
        <f ca="1"/>
        <v>1281.2</v>
      </c>
      <c r="AB234" s="105">
        <f t="shared" ca="1" si="26"/>
        <v>-1.3550970126270379E-2</v>
      </c>
      <c r="AD234" s="104" vm="1793">
        <f ca="1"/>
        <v>45978</v>
      </c>
      <c r="AE234" s="104" vm="1799">
        <f ca="1"/>
        <v>521.6</v>
      </c>
      <c r="AF234" s="105">
        <f t="shared" ca="1" si="27"/>
        <v>2.8840607575466581E-3</v>
      </c>
    </row>
    <row r="235" spans="2:32" x14ac:dyDescent="0.3">
      <c r="B235" s="104" vm="1800">
        <f ca="1"/>
        <v>45985</v>
      </c>
      <c r="C235" s="104" vm="1801">
        <f ca="1"/>
        <v>2874.4</v>
      </c>
      <c r="D235" s="105">
        <f t="shared" ca="1" si="21"/>
        <v>-7.6479176805943627E-4</v>
      </c>
      <c r="F235" s="104" vm="1800">
        <f ca="1"/>
        <v>45985</v>
      </c>
      <c r="G235" s="104" vm="1802">
        <f ca="1"/>
        <v>26202.95</v>
      </c>
      <c r="H235" s="105">
        <f t="shared" ca="1" si="22"/>
        <v>5.1710612375637233E-3</v>
      </c>
      <c r="N235" s="104" vm="1800">
        <f ca="1"/>
        <v>45985</v>
      </c>
      <c r="O235" s="104" vm="1803">
        <f ca="1"/>
        <v>236.49</v>
      </c>
      <c r="P235" s="105">
        <f t="shared" ca="1" si="23"/>
        <v>1.5850515463917469E-2</v>
      </c>
      <c r="R235" s="104" vm="1800">
        <f ca="1"/>
        <v>45985</v>
      </c>
      <c r="S235" s="104" vm="1804">
        <f ca="1"/>
        <v>564.6</v>
      </c>
      <c r="T235" s="105">
        <f t="shared" ca="1" si="24"/>
        <v>-2.5795876110775495E-2</v>
      </c>
      <c r="V235" s="104" vm="1800">
        <f ca="1"/>
        <v>45985</v>
      </c>
      <c r="W235" s="104" vm="1805">
        <f ca="1"/>
        <v>3310.8</v>
      </c>
      <c r="X235" s="105">
        <f t="shared" ca="1" si="25"/>
        <v>-2.1920236336779864E-2</v>
      </c>
      <c r="Z235" s="104" vm="1800">
        <f ca="1"/>
        <v>45985</v>
      </c>
      <c r="AA235" s="104" vm="1806">
        <f ca="1"/>
        <v>1283.6500000000001</v>
      </c>
      <c r="AB235" s="105">
        <f t="shared" ca="1" si="26"/>
        <v>1.9122697471121164E-3</v>
      </c>
      <c r="AD235" s="104" vm="1800">
        <f ca="1"/>
        <v>45985</v>
      </c>
      <c r="AE235" s="104" vm="1807">
        <f ca="1"/>
        <v>519.6</v>
      </c>
      <c r="AF235" s="105">
        <f t="shared" ca="1" si="27"/>
        <v>-3.8343558282208923E-3</v>
      </c>
    </row>
    <row r="236" spans="2:32" x14ac:dyDescent="0.3">
      <c r="B236" s="104" vm="1808">
        <f ca="1"/>
        <v>45992</v>
      </c>
      <c r="C236" s="104" vm="1809">
        <f ca="1"/>
        <v>2968.5</v>
      </c>
      <c r="D236" s="105">
        <f t="shared" ca="1" si="21"/>
        <v>3.2737266907876483E-2</v>
      </c>
      <c r="F236" s="104" vm="1808">
        <f ca="1"/>
        <v>45992</v>
      </c>
      <c r="G236" s="104" vm="1810">
        <f ca="1"/>
        <v>26186.45</v>
      </c>
      <c r="H236" s="105">
        <f t="shared" ca="1" si="22"/>
        <v>-6.297000910202577E-4</v>
      </c>
      <c r="N236" s="104" vm="1808">
        <f ca="1"/>
        <v>45992</v>
      </c>
      <c r="O236" s="104" vm="1811">
        <f ca="1"/>
        <v>228.11</v>
      </c>
      <c r="P236" s="105">
        <f t="shared" ca="1" si="23"/>
        <v>-3.5434902110025757E-2</v>
      </c>
      <c r="R236" s="104" vm="1808">
        <f ca="1"/>
        <v>45992</v>
      </c>
      <c r="S236" s="104" vm="1812">
        <f ca="1"/>
        <v>554.5</v>
      </c>
      <c r="T236" s="105">
        <f t="shared" ca="1" si="24"/>
        <v>-1.7888770811193777E-2</v>
      </c>
      <c r="V236" s="104" vm="1808">
        <f ca="1"/>
        <v>45992</v>
      </c>
      <c r="W236" s="104" vm="1813">
        <f ca="1"/>
        <v>3513.4</v>
      </c>
      <c r="X236" s="105">
        <f t="shared" ca="1" si="25"/>
        <v>6.1193669203817747E-2</v>
      </c>
      <c r="Z236" s="104" vm="1808">
        <f ca="1"/>
        <v>45992</v>
      </c>
      <c r="AA236" s="104" vm="1814">
        <f ca="1"/>
        <v>1235.5</v>
      </c>
      <c r="AB236" s="105">
        <f t="shared" ca="1" si="26"/>
        <v>-3.7510224749737198E-2</v>
      </c>
      <c r="AD236" s="104" vm="1808">
        <f ca="1"/>
        <v>45992</v>
      </c>
      <c r="AE236" s="104" vm="1815">
        <f ca="1"/>
        <v>501.45</v>
      </c>
      <c r="AF236" s="105">
        <f t="shared" ca="1" si="27"/>
        <v>-3.4930715935334922E-2</v>
      </c>
    </row>
    <row r="237" spans="2:32" x14ac:dyDescent="0.3">
      <c r="B237" s="104" vm="1816">
        <f ca="1"/>
        <v>45999</v>
      </c>
      <c r="C237" s="104" vm="1817">
        <f ca="1"/>
        <v>2764.8</v>
      </c>
      <c r="D237" s="105">
        <f t="shared" ca="1" si="21"/>
        <v>-6.8620515411824123E-2</v>
      </c>
      <c r="F237" s="104" vm="1816">
        <f ca="1"/>
        <v>45999</v>
      </c>
      <c r="G237" s="104" vm="1818">
        <f ca="1"/>
        <v>26046.95</v>
      </c>
      <c r="H237" s="105">
        <f t="shared" ca="1" si="22"/>
        <v>-5.3271825696113995E-3</v>
      </c>
      <c r="N237" s="104" vm="1816">
        <f ca="1"/>
        <v>45999</v>
      </c>
      <c r="O237" s="104" vm="1819">
        <f ca="1"/>
        <v>223.5</v>
      </c>
      <c r="P237" s="105">
        <f t="shared" ca="1" si="23"/>
        <v>-2.0209548025075685E-2</v>
      </c>
      <c r="R237" s="104" vm="1816">
        <f ca="1"/>
        <v>45999</v>
      </c>
      <c r="S237" s="104" vm="1820">
        <f ca="1"/>
        <v>541.25</v>
      </c>
      <c r="T237" s="105">
        <f t="shared" ca="1" si="24"/>
        <v>-2.389540126239853E-2</v>
      </c>
      <c r="V237" s="104" vm="1816">
        <f ca="1"/>
        <v>45999</v>
      </c>
      <c r="W237" s="104" vm="1821">
        <f ca="1"/>
        <v>3601.2</v>
      </c>
      <c r="X237" s="105">
        <f t="shared" ca="1" si="25"/>
        <v>2.4990038139693693E-2</v>
      </c>
      <c r="Z237" s="104" vm="1816">
        <f ca="1"/>
        <v>45999</v>
      </c>
      <c r="AA237" s="104" vm="1822">
        <f ca="1"/>
        <v>1233.9000000000001</v>
      </c>
      <c r="AB237" s="105">
        <f t="shared" ca="1" si="26"/>
        <v>-1.2950222581949999E-3</v>
      </c>
      <c r="AD237" s="104" vm="1816">
        <f ca="1"/>
        <v>45999</v>
      </c>
      <c r="AE237" s="104" vm="1823">
        <f ca="1"/>
        <v>474.15</v>
      </c>
      <c r="AF237" s="105">
        <f t="shared" ca="1" si="27"/>
        <v>-5.4442117858211181E-2</v>
      </c>
    </row>
    <row r="238" spans="2:32" x14ac:dyDescent="0.3">
      <c r="B238" s="104" vm="1824">
        <f ca="1"/>
        <v>46006</v>
      </c>
      <c r="C238" s="104" vm="1825">
        <f ca="1"/>
        <v>2799.9</v>
      </c>
      <c r="D238" s="105">
        <f t="shared" ca="1" si="21"/>
        <v>1.26953125E-2</v>
      </c>
      <c r="F238" s="104" vm="1824">
        <f ca="1"/>
        <v>46006</v>
      </c>
      <c r="G238" s="104" vm="1826">
        <f ca="1"/>
        <v>25966.400000000001</v>
      </c>
      <c r="H238" s="105">
        <f t="shared" ca="1" si="22"/>
        <v>-3.0924925951022475E-3</v>
      </c>
      <c r="N238" s="104" vm="1824">
        <f ca="1"/>
        <v>46006</v>
      </c>
      <c r="O238" s="104" vm="1827">
        <f ca="1"/>
        <v>222.98</v>
      </c>
      <c r="P238" s="105">
        <f t="shared" ca="1" si="23"/>
        <v>-2.3266219239373997E-3</v>
      </c>
      <c r="R238" s="104" vm="1824">
        <f ca="1"/>
        <v>46006</v>
      </c>
      <c r="S238" s="104" vm="1828">
        <f ca="1"/>
        <v>538</v>
      </c>
      <c r="T238" s="105">
        <f t="shared" ca="1" si="24"/>
        <v>-6.0046189376443682E-3</v>
      </c>
      <c r="V238" s="104" vm="1824">
        <f ca="1"/>
        <v>46006</v>
      </c>
      <c r="W238" s="104" vm="1829">
        <f ca="1"/>
        <v>3149.4</v>
      </c>
      <c r="X238" s="105">
        <f t="shared" ca="1" si="25"/>
        <v>-0.12545818060646441</v>
      </c>
      <c r="Z238" s="104" vm="1824">
        <f ca="1"/>
        <v>46006</v>
      </c>
      <c r="AA238" s="104" vm="1830">
        <f ca="1"/>
        <v>1188.5999999999999</v>
      </c>
      <c r="AB238" s="105">
        <f t="shared" ca="1" si="26"/>
        <v>-3.6712861658157236E-2</v>
      </c>
      <c r="AD238" s="104" vm="1824">
        <f ca="1"/>
        <v>46006</v>
      </c>
      <c r="AE238" s="104" vm="1831">
        <f ca="1"/>
        <v>481.1</v>
      </c>
      <c r="AF238" s="105">
        <f t="shared" ca="1" si="27"/>
        <v>1.4657808710323739E-2</v>
      </c>
    </row>
    <row r="239" spans="2:32" x14ac:dyDescent="0.3">
      <c r="B239" s="104" vm="1832">
        <f ca="1"/>
        <v>46013</v>
      </c>
      <c r="C239" s="104" vm="1833">
        <f ca="1"/>
        <v>2746.5</v>
      </c>
      <c r="D239" s="105">
        <f t="shared" ca="1" si="21"/>
        <v>-1.9072109718204278E-2</v>
      </c>
      <c r="F239" s="104" vm="1832">
        <f ca="1"/>
        <v>46013</v>
      </c>
      <c r="G239" s="104" vm="1834">
        <f ca="1"/>
        <v>26042.3</v>
      </c>
      <c r="H239" s="105">
        <f t="shared" ca="1" si="22"/>
        <v>2.9230081952060782E-3</v>
      </c>
      <c r="N239" s="104" vm="1832">
        <f ca="1"/>
        <v>46013</v>
      </c>
      <c r="O239" s="104" vm="1835">
        <f ca="1"/>
        <v>237.42</v>
      </c>
      <c r="P239" s="105">
        <f t="shared" ca="1" si="23"/>
        <v>6.475917122611885E-2</v>
      </c>
      <c r="R239" s="104" vm="1832">
        <f ca="1"/>
        <v>46013</v>
      </c>
      <c r="S239" s="104" vm="1836">
        <f ca="1"/>
        <v>542.04999999999995</v>
      </c>
      <c r="T239" s="105">
        <f t="shared" ca="1" si="24"/>
        <v>7.5278810408920815E-3</v>
      </c>
      <c r="V239" s="104" vm="1832">
        <f ca="1"/>
        <v>46013</v>
      </c>
      <c r="W239" s="104" vm="1837">
        <f ca="1"/>
        <v>3123.8</v>
      </c>
      <c r="X239" s="105">
        <f t="shared" ca="1" si="25"/>
        <v>-8.1285324188734576E-3</v>
      </c>
      <c r="Z239" s="104" vm="1832">
        <f ca="1"/>
        <v>46013</v>
      </c>
      <c r="AA239" s="104" vm="1838">
        <f ca="1"/>
        <v>1127.5</v>
      </c>
      <c r="AB239" s="105">
        <f t="shared" ca="1" si="26"/>
        <v>-5.1405014302540741E-2</v>
      </c>
      <c r="AD239" s="104" vm="1832">
        <f ca="1"/>
        <v>46013</v>
      </c>
      <c r="AE239" s="104" vm="1839">
        <f ca="1"/>
        <v>486.25</v>
      </c>
      <c r="AF239" s="105">
        <f t="shared" ca="1" si="27"/>
        <v>1.0704635210974756E-2</v>
      </c>
    </row>
    <row r="240" spans="2:32" x14ac:dyDescent="0.3">
      <c r="B240" s="104" vm="1840">
        <f ca="1"/>
        <v>46020</v>
      </c>
      <c r="C240" s="104" vm="1841">
        <f ca="1"/>
        <v>2772.6</v>
      </c>
      <c r="D240" s="105">
        <f t="shared" ca="1" si="21"/>
        <v>9.5030038230474734E-3</v>
      </c>
      <c r="F240" s="104" vm="1840">
        <f ca="1"/>
        <v>46020</v>
      </c>
      <c r="G240" s="104" vm="1842">
        <f ca="1"/>
        <v>26328.55</v>
      </c>
      <c r="H240" s="105">
        <f t="shared" ca="1" si="22"/>
        <v>1.0991732681061128E-2</v>
      </c>
      <c r="N240" s="104" vm="1840">
        <f ca="1"/>
        <v>46020</v>
      </c>
      <c r="O240" s="104" vm="1843">
        <f ca="1"/>
        <v>241.08</v>
      </c>
      <c r="P240" s="105">
        <f t="shared" ca="1" si="23"/>
        <v>1.5415718979024717E-2</v>
      </c>
      <c r="R240" s="104" vm="1840">
        <f ca="1"/>
        <v>46020</v>
      </c>
      <c r="S240" s="104" vm="1844">
        <f ca="1"/>
        <v>524.1</v>
      </c>
      <c r="T240" s="105">
        <f t="shared" ca="1" si="24"/>
        <v>-3.3115026289087579E-2</v>
      </c>
      <c r="V240" s="104" vm="1840">
        <f ca="1"/>
        <v>46020</v>
      </c>
      <c r="W240" s="104" vm="1845">
        <f ca="1"/>
        <v>3211.6</v>
      </c>
      <c r="X240" s="105">
        <f t="shared" ca="1" si="25"/>
        <v>2.8106793008515263E-2</v>
      </c>
      <c r="Z240" s="104" vm="1840">
        <f ca="1"/>
        <v>46020</v>
      </c>
      <c r="AA240" s="104" vm="1846">
        <f ca="1"/>
        <v>1171.2</v>
      </c>
      <c r="AB240" s="105">
        <f t="shared" ca="1" si="26"/>
        <v>3.8758314855875886E-2</v>
      </c>
      <c r="AD240" s="104" vm="1840">
        <f ca="1"/>
        <v>46020</v>
      </c>
      <c r="AE240" s="104" vm="1847">
        <f ca="1"/>
        <v>503.65</v>
      </c>
      <c r="AF240" s="105">
        <f t="shared" ca="1" si="27"/>
        <v>3.5784061696658043E-2</v>
      </c>
    </row>
    <row r="241" spans="2:32" x14ac:dyDescent="0.3">
      <c r="B241" s="104" vm="1848">
        <f ca="1"/>
        <v>46027</v>
      </c>
      <c r="C241" s="104" vm="1849">
        <f ca="1"/>
        <v>2825.5</v>
      </c>
      <c r="D241" s="105">
        <f t="shared" ca="1" si="21"/>
        <v>1.9079564307869834E-2</v>
      </c>
      <c r="F241" s="104" vm="1848">
        <f ca="1"/>
        <v>46027</v>
      </c>
      <c r="G241" s="104" vm="1850">
        <f ca="1"/>
        <v>25683.3</v>
      </c>
      <c r="H241" s="105">
        <f t="shared" ca="1" si="22"/>
        <v>-2.4507616256877029E-2</v>
      </c>
      <c r="N241" s="104" vm="1848">
        <f ca="1"/>
        <v>46027</v>
      </c>
      <c r="O241" s="104" vm="1851">
        <f ca="1"/>
        <v>232.46</v>
      </c>
      <c r="P241" s="105">
        <f t="shared" ca="1" si="23"/>
        <v>-3.5755765720922539E-2</v>
      </c>
      <c r="R241" s="104" vm="1848">
        <f ca="1"/>
        <v>46027</v>
      </c>
      <c r="S241" s="104" vm="1852">
        <f ca="1"/>
        <v>514.20000000000005</v>
      </c>
      <c r="T241" s="105">
        <f t="shared" ca="1" si="24"/>
        <v>-1.8889524899828203E-2</v>
      </c>
      <c r="V241" s="104" vm="1848">
        <f ca="1"/>
        <v>46027</v>
      </c>
      <c r="W241" s="104" vm="1853">
        <f ca="1"/>
        <v>3133.9</v>
      </c>
      <c r="X241" s="105">
        <f t="shared" ca="1" si="25"/>
        <v>-2.4193548387096753E-2</v>
      </c>
      <c r="Z241" s="104" vm="1848">
        <f ca="1"/>
        <v>46027</v>
      </c>
      <c r="AA241" s="104" vm="1854">
        <f ca="1"/>
        <v>1200.3</v>
      </c>
      <c r="AB241" s="105">
        <f t="shared" ca="1" si="26"/>
        <v>2.4846311475409832E-2</v>
      </c>
      <c r="AD241" s="104" vm="1848">
        <f ca="1"/>
        <v>46027</v>
      </c>
      <c r="AE241" s="104" vm="1855">
        <f ca="1"/>
        <v>470.45</v>
      </c>
      <c r="AF241" s="105">
        <f t="shared" ca="1" si="27"/>
        <v>-6.5918792812468929E-2</v>
      </c>
    </row>
    <row r="242" spans="2:32" x14ac:dyDescent="0.3">
      <c r="B242" s="104" vm="1856">
        <f ca="1"/>
        <v>46034</v>
      </c>
      <c r="C242" s="104" vm="1857">
        <f ca="1"/>
        <v>2756.9</v>
      </c>
      <c r="D242" s="105">
        <f t="shared" ca="1" si="21"/>
        <v>-2.4278888692266798E-2</v>
      </c>
      <c r="F242" s="104" vm="1856">
        <f ca="1"/>
        <v>46034</v>
      </c>
      <c r="G242" s="104" vm="1858">
        <f ca="1"/>
        <v>25694.35</v>
      </c>
      <c r="H242" s="105">
        <f t="shared" ca="1" si="22"/>
        <v>4.3024066222008273E-4</v>
      </c>
      <c r="N242" s="104" vm="1856">
        <f ca="1"/>
        <v>46034</v>
      </c>
      <c r="O242" s="104" vm="1859">
        <f ca="1"/>
        <v>231.43</v>
      </c>
      <c r="P242" s="105">
        <f t="shared" ca="1" si="23"/>
        <v>-4.4308698270669744E-3</v>
      </c>
      <c r="R242" s="104" vm="1856">
        <f ca="1"/>
        <v>46034</v>
      </c>
      <c r="S242" s="104" vm="1860">
        <f ca="1"/>
        <v>519.75</v>
      </c>
      <c r="T242" s="105">
        <f t="shared" ca="1" si="24"/>
        <v>1.0793465577596084E-2</v>
      </c>
      <c r="V242" s="104" vm="1856">
        <f ca="1"/>
        <v>46034</v>
      </c>
      <c r="W242" s="104" vm="1861">
        <f ca="1"/>
        <v>3088.8</v>
      </c>
      <c r="X242" s="105">
        <f t="shared" ca="1" si="25"/>
        <v>-1.4391014391014312E-2</v>
      </c>
      <c r="Z242" s="104" vm="1856">
        <f ca="1"/>
        <v>46034</v>
      </c>
      <c r="AA242" s="104" vm="1862">
        <f ca="1"/>
        <v>1236.4000000000001</v>
      </c>
      <c r="AB242" s="105">
        <f t="shared" ca="1" si="26"/>
        <v>3.0075814379738608E-2</v>
      </c>
      <c r="AD242" s="104" vm="1856">
        <f ca="1"/>
        <v>46034</v>
      </c>
      <c r="AE242" s="104" vm="1863">
        <f ca="1"/>
        <v>491.4</v>
      </c>
      <c r="AF242" s="105">
        <f t="shared" ca="1" si="27"/>
        <v>4.4531831225422369E-2</v>
      </c>
    </row>
    <row r="243" spans="2:32" x14ac:dyDescent="0.3">
      <c r="B243" s="104" vm="1864">
        <f ca="1"/>
        <v>46041</v>
      </c>
      <c r="C243" s="104" vm="1865">
        <f ca="1"/>
        <v>2703.7</v>
      </c>
      <c r="D243" s="105">
        <f t="shared" ca="1" si="21"/>
        <v>-1.9297036526533473E-2</v>
      </c>
      <c r="F243" s="104" vm="1864">
        <f ca="1"/>
        <v>46041</v>
      </c>
      <c r="G243" s="104" vm="1866">
        <f ca="1"/>
        <v>25048.65</v>
      </c>
      <c r="H243" s="105">
        <f t="shared" ca="1" si="22"/>
        <v>-2.5130038315816394E-2</v>
      </c>
      <c r="N243" s="104" vm="1864">
        <f ca="1"/>
        <v>46041</v>
      </c>
      <c r="O243" s="104" vm="1867">
        <f ca="1"/>
        <v>227.08</v>
      </c>
      <c r="P243" s="105">
        <f t="shared" ca="1" si="23"/>
        <v>-1.8796180270492124E-2</v>
      </c>
      <c r="R243" s="104" vm="1864">
        <f ca="1"/>
        <v>46041</v>
      </c>
      <c r="S243" s="104" vm="1868">
        <f ca="1"/>
        <v>504.5</v>
      </c>
      <c r="T243" s="105">
        <f t="shared" ca="1" si="24"/>
        <v>-2.9341029341029334E-2</v>
      </c>
      <c r="V243" s="104" vm="1864">
        <f ca="1"/>
        <v>46041</v>
      </c>
      <c r="W243" s="104" vm="1869">
        <f ca="1"/>
        <v>2938.6</v>
      </c>
      <c r="X243" s="105">
        <f t="shared" ca="1" si="25"/>
        <v>-4.8627298627298754E-2</v>
      </c>
      <c r="Z243" s="104" vm="1864">
        <f ca="1"/>
        <v>46041</v>
      </c>
      <c r="AA243" s="104" vm="1870">
        <f ca="1"/>
        <v>1047.5</v>
      </c>
      <c r="AB243" s="105">
        <f t="shared" ca="1" si="26"/>
        <v>-0.15278227110967335</v>
      </c>
      <c r="AD243" s="104" vm="1864">
        <f ca="1"/>
        <v>46041</v>
      </c>
      <c r="AE243" s="104" vm="1871">
        <f ca="1"/>
        <v>459.95</v>
      </c>
      <c r="AF243" s="105">
        <f t="shared" ca="1" si="27"/>
        <v>-6.4000814000814032E-2</v>
      </c>
    </row>
    <row r="244" spans="2:32" x14ac:dyDescent="0.3">
      <c r="B244" s="104" vm="1872">
        <f ca="1"/>
        <v>46049</v>
      </c>
      <c r="C244" s="104" vm="1873">
        <f ca="1"/>
        <v>2428.3000000000002</v>
      </c>
      <c r="D244" s="105">
        <f t="shared" ca="1" si="21"/>
        <v>-0.10186041350741559</v>
      </c>
      <c r="F244" s="104" vm="1872">
        <f ca="1"/>
        <v>46049</v>
      </c>
      <c r="G244" s="104" vm="1874">
        <f ca="1"/>
        <v>25320.65</v>
      </c>
      <c r="H244" s="105">
        <f t="shared" ca="1" si="22"/>
        <v>1.0858868641623332E-2</v>
      </c>
      <c r="N244" s="104" vm="1872">
        <f ca="1"/>
        <v>46049</v>
      </c>
      <c r="O244" s="104" vm="1875">
        <f ca="1"/>
        <v>230.19</v>
      </c>
      <c r="P244" s="105">
        <f t="shared" ca="1" si="23"/>
        <v>1.3695613880570612E-2</v>
      </c>
      <c r="R244" s="104" vm="1872">
        <f ca="1"/>
        <v>46049</v>
      </c>
      <c r="S244" s="104" vm="1876">
        <f ca="1"/>
        <v>462.9</v>
      </c>
      <c r="T244" s="105">
        <f t="shared" ca="1" si="24"/>
        <v>-8.2457879088206232E-2</v>
      </c>
      <c r="V244" s="104" vm="1872">
        <f ca="1"/>
        <v>46049</v>
      </c>
      <c r="W244" s="104" vm="1877">
        <f ca="1"/>
        <v>2800</v>
      </c>
      <c r="X244" s="105">
        <f t="shared" ca="1" si="25"/>
        <v>-4.716531681753211E-2</v>
      </c>
      <c r="Z244" s="104" vm="1872">
        <f ca="1"/>
        <v>46049</v>
      </c>
      <c r="AA244" s="104" vm="1878">
        <f ca="1"/>
        <v>1044.4000000000001</v>
      </c>
      <c r="AB244" s="105">
        <f t="shared" ca="1" si="26"/>
        <v>-2.9594272076371997E-3</v>
      </c>
      <c r="AD244" s="104" vm="1872">
        <f ca="1"/>
        <v>46049</v>
      </c>
      <c r="AE244" s="104" vm="1879">
        <f ca="1"/>
        <v>463.85</v>
      </c>
      <c r="AF244" s="105">
        <f t="shared" ca="1" si="27"/>
        <v>8.4791825198391457E-3</v>
      </c>
    </row>
    <row r="245" spans="2:32" x14ac:dyDescent="0.3">
      <c r="B245" s="104" vm="1880">
        <f ca="1"/>
        <v>46054</v>
      </c>
      <c r="C245" s="104" vm="1881">
        <f ca="1"/>
        <v>2401.1</v>
      </c>
      <c r="D245" s="105">
        <f t="shared" ca="1" si="21"/>
        <v>-1.1201251904624732E-2</v>
      </c>
      <c r="F245" s="104" vm="1880">
        <f ca="1"/>
        <v>46054</v>
      </c>
      <c r="G245" s="104" vm="1882">
        <f ca="1"/>
        <v>25693.7</v>
      </c>
      <c r="H245" s="105">
        <f t="shared" ca="1" si="22"/>
        <v>1.4733034104574605E-2</v>
      </c>
      <c r="N245" s="104" vm="1880">
        <f ca="1"/>
        <v>46054</v>
      </c>
      <c r="O245" s="104" vm="1883">
        <f ca="1"/>
        <v>214.35</v>
      </c>
      <c r="P245" s="105">
        <f t="shared" ca="1" si="23"/>
        <v>-6.8812719927016874E-2</v>
      </c>
      <c r="R245" s="104" vm="1880">
        <f ca="1"/>
        <v>46054</v>
      </c>
      <c r="S245" s="104" vm="1884">
        <f ca="1"/>
        <v>472.4</v>
      </c>
      <c r="T245" s="105">
        <f t="shared" ca="1" si="24"/>
        <v>2.0522791099589544E-2</v>
      </c>
      <c r="V245" s="104" vm="1880">
        <f ca="1"/>
        <v>46054</v>
      </c>
      <c r="W245" s="104" vm="1885">
        <f ca="1"/>
        <v>2918.6</v>
      </c>
      <c r="X245" s="105">
        <f t="shared" ca="1" si="25"/>
        <v>4.235714285714276E-2</v>
      </c>
      <c r="Z245" s="104" vm="1880">
        <f ca="1"/>
        <v>46054</v>
      </c>
      <c r="AA245" s="104" vm="1886">
        <f ca="1"/>
        <v>1008.9</v>
      </c>
      <c r="AB245" s="105">
        <f t="shared" ca="1" si="26"/>
        <v>-3.3990808119494509E-2</v>
      </c>
      <c r="AD245" s="104" vm="1880">
        <f ca="1"/>
        <v>46054</v>
      </c>
      <c r="AE245" s="104" vm="1887">
        <f ca="1"/>
        <v>465.5</v>
      </c>
      <c r="AF245" s="105">
        <f t="shared" ca="1" si="27"/>
        <v>3.5571844346231618E-3</v>
      </c>
    </row>
    <row r="246" spans="2:32" x14ac:dyDescent="0.3">
      <c r="B246" s="104" vm="1888">
        <f ca="1"/>
        <v>46062</v>
      </c>
      <c r="C246" s="104" vm="1889">
        <f ca="1"/>
        <v>2366.4</v>
      </c>
      <c r="D246" s="105">
        <f t="shared" ca="1" si="21"/>
        <v>-1.4451709633084731E-2</v>
      </c>
      <c r="F246" s="104" vm="1888">
        <f ca="1"/>
        <v>46062</v>
      </c>
      <c r="G246" s="104" vm="1890">
        <f ca="1"/>
        <v>25471.1</v>
      </c>
      <c r="H246" s="105">
        <f t="shared" ca="1" si="22"/>
        <v>-8.6636023616685209E-3</v>
      </c>
      <c r="N246" s="104" vm="1888">
        <f ca="1"/>
        <v>46062</v>
      </c>
      <c r="O246" s="104" vm="1891">
        <f ca="1"/>
        <v>200.03</v>
      </c>
      <c r="P246" s="105">
        <f t="shared" ca="1" si="23"/>
        <v>-6.6806624679262905E-2</v>
      </c>
      <c r="R246" s="104" vm="1888">
        <f ca="1"/>
        <v>46062</v>
      </c>
      <c r="S246" s="104" vm="1892">
        <f ca="1"/>
        <v>462</v>
      </c>
      <c r="T246" s="105">
        <f t="shared" ca="1" si="24"/>
        <v>-2.201524132091448E-2</v>
      </c>
      <c r="V246" s="104" vm="1888">
        <f ca="1"/>
        <v>46062</v>
      </c>
      <c r="W246" s="104" vm="1893">
        <f ca="1"/>
        <v>2950.9</v>
      </c>
      <c r="X246" s="105">
        <f t="shared" ca="1" si="25"/>
        <v>1.106694990749002E-2</v>
      </c>
      <c r="Z246" s="104" vm="1888">
        <f ca="1"/>
        <v>46062</v>
      </c>
      <c r="AA246" s="104" vm="1894">
        <f ca="1"/>
        <v>973.1</v>
      </c>
      <c r="AB246" s="105">
        <f t="shared" ca="1" si="26"/>
        <v>-3.5484190702745555E-2</v>
      </c>
      <c r="AD246" s="104" vm="1888">
        <f ca="1"/>
        <v>46062</v>
      </c>
      <c r="AE246" s="104" vm="1895">
        <f ca="1"/>
        <v>472.6</v>
      </c>
      <c r="AF246" s="105">
        <f t="shared" ca="1" si="27"/>
        <v>1.5252416756176279E-2</v>
      </c>
    </row>
    <row r="247" spans="2:32" x14ac:dyDescent="0.3">
      <c r="B247" s="104" vm="1896">
        <f ca="1"/>
        <v>46069</v>
      </c>
      <c r="C247" s="104" vm="1897">
        <f ca="1"/>
        <v>2428.1</v>
      </c>
      <c r="D247" s="105">
        <f t="shared" ca="1" si="21"/>
        <v>2.6073360378634058E-2</v>
      </c>
      <c r="F247" s="104" vm="1896">
        <f ca="1"/>
        <v>46069</v>
      </c>
      <c r="G247" s="104" vm="1898">
        <f ca="1"/>
        <v>25571.25</v>
      </c>
      <c r="H247" s="105">
        <f t="shared" ca="1" si="22"/>
        <v>3.9319071418195684E-3</v>
      </c>
      <c r="N247" s="104" vm="1896">
        <f ca="1"/>
        <v>46069</v>
      </c>
      <c r="O247" s="104" vm="1899">
        <f ca="1"/>
        <v>198.69</v>
      </c>
      <c r="P247" s="105">
        <f t="shared" ca="1" si="23"/>
        <v>-6.6989951507273604E-3</v>
      </c>
      <c r="R247" s="104" vm="1896">
        <f ca="1"/>
        <v>46069</v>
      </c>
      <c r="S247" s="104" vm="1900">
        <f ca="1"/>
        <v>455.45</v>
      </c>
      <c r="T247" s="105">
        <f t="shared" ca="1" si="24"/>
        <v>-1.4177489177489178E-2</v>
      </c>
      <c r="V247" s="104" vm="1896">
        <f ca="1"/>
        <v>46069</v>
      </c>
      <c r="W247" s="104" vm="1901">
        <f ca="1"/>
        <v>3054.4</v>
      </c>
      <c r="X247" s="105">
        <f t="shared" ca="1" si="25"/>
        <v>3.5074045206547222E-2</v>
      </c>
      <c r="Z247" s="104" vm="1896">
        <f ca="1"/>
        <v>46069</v>
      </c>
      <c r="AA247" s="104" vm="1902">
        <f ca="1"/>
        <v>944</v>
      </c>
      <c r="AB247" s="105">
        <f t="shared" ca="1" si="26"/>
        <v>-2.9904429143972844E-2</v>
      </c>
      <c r="AD247" s="104" vm="1896">
        <f ca="1"/>
        <v>46069</v>
      </c>
      <c r="AE247" s="104" vm="1696">
        <f ca="1"/>
        <v>458.85</v>
      </c>
      <c r="AF247" s="105">
        <f t="shared" ca="1" si="27"/>
        <v>-2.9094371561574239E-2</v>
      </c>
    </row>
    <row r="248" spans="2:32" x14ac:dyDescent="0.3">
      <c r="B248" s="104" vm="1903">
        <f ca="1"/>
        <v>46076</v>
      </c>
      <c r="C248" s="104" vm="1904">
        <f ca="1"/>
        <v>2376.1999999999998</v>
      </c>
      <c r="D248" s="105">
        <f t="shared" ca="1" si="21"/>
        <v>-2.1374737449034287E-2</v>
      </c>
      <c r="F248" s="104" vm="1903">
        <f ca="1"/>
        <v>46076</v>
      </c>
      <c r="G248" s="104" vm="1905">
        <f ca="1"/>
        <v>25178.65</v>
      </c>
      <c r="H248" s="105">
        <f t="shared" ca="1" si="22"/>
        <v>-1.5353179840641329E-2</v>
      </c>
      <c r="N248" s="104" vm="1903">
        <f ca="1"/>
        <v>46076</v>
      </c>
      <c r="O248" s="104" vm="1906">
        <f ca="1"/>
        <v>203.51</v>
      </c>
      <c r="P248" s="105">
        <f t="shared" ca="1" si="23"/>
        <v>2.4258895767275579E-2</v>
      </c>
      <c r="R248" s="104" vm="1903">
        <f ca="1"/>
        <v>46076</v>
      </c>
      <c r="S248" s="104" vm="1907">
        <f ca="1"/>
        <v>456.1</v>
      </c>
      <c r="T248" s="105">
        <f t="shared" ca="1" si="24"/>
        <v>1.4271599516961775E-3</v>
      </c>
      <c r="V248" s="104" vm="1903">
        <f ca="1"/>
        <v>46076</v>
      </c>
      <c r="W248" s="104" vm="1908">
        <f ca="1"/>
        <v>2935.3</v>
      </c>
      <c r="X248" s="105">
        <f t="shared" ca="1" si="25"/>
        <v>-3.8992928234677815E-2</v>
      </c>
      <c r="Z248" s="104" vm="1903">
        <f ca="1"/>
        <v>46076</v>
      </c>
      <c r="AA248" s="104" vm="1909">
        <f ca="1"/>
        <v>936.8</v>
      </c>
      <c r="AB248" s="105">
        <f t="shared" ca="1" si="26"/>
        <v>-7.6271186440678429E-3</v>
      </c>
      <c r="AD248" s="104" vm="1903">
        <f ca="1"/>
        <v>46076</v>
      </c>
      <c r="AE248" s="104" vm="1910">
        <f ca="1"/>
        <v>457.25</v>
      </c>
      <c r="AF248" s="105">
        <f t="shared" ca="1" si="27"/>
        <v>-3.486978315353606E-3</v>
      </c>
    </row>
    <row r="249" spans="2:32" x14ac:dyDescent="0.3">
      <c r="B249" s="104" vm="1911">
        <f ca="1"/>
        <v>46083</v>
      </c>
      <c r="C249" s="104" vm="1912">
        <f ca="1"/>
        <v>2279.5</v>
      </c>
      <c r="D249" s="105">
        <f t="shared" ca="1" si="21"/>
        <v>-4.0695227674438117E-2</v>
      </c>
      <c r="F249" s="104" vm="1911">
        <f ca="1"/>
        <v>46083</v>
      </c>
      <c r="G249" s="104" vm="1913">
        <f ca="1"/>
        <v>24450.45</v>
      </c>
      <c r="H249" s="105">
        <f t="shared" ca="1" si="22"/>
        <v>-2.892132818876314E-2</v>
      </c>
      <c r="N249" s="104" vm="1911">
        <f ca="1"/>
        <v>46083</v>
      </c>
      <c r="O249" s="104" vm="1914">
        <f ca="1"/>
        <v>189.19</v>
      </c>
      <c r="P249" s="105">
        <f t="shared" ca="1" si="23"/>
        <v>-7.0365092624441017E-2</v>
      </c>
      <c r="R249" s="104" vm="1911">
        <f ca="1"/>
        <v>46083</v>
      </c>
      <c r="S249" s="104" vm="1915">
        <f ca="1"/>
        <v>440.3</v>
      </c>
      <c r="T249" s="105">
        <f t="shared" ca="1" si="24"/>
        <v>-3.4641525981144561E-2</v>
      </c>
      <c r="V249" s="104" vm="1911">
        <f ca="1"/>
        <v>46083</v>
      </c>
      <c r="W249" s="104" vm="1916">
        <f ca="1"/>
        <v>2774.8</v>
      </c>
      <c r="X249" s="105">
        <f t="shared" ca="1" si="25"/>
        <v>-5.4679249139781283E-2</v>
      </c>
      <c r="Z249" s="104" vm="1911">
        <f ca="1"/>
        <v>46083</v>
      </c>
      <c r="AA249" s="104" vm="1917">
        <f ca="1"/>
        <v>873.5</v>
      </c>
      <c r="AB249" s="105">
        <f t="shared" ca="1" si="26"/>
        <v>-6.7570452604611364E-2</v>
      </c>
      <c r="AD249" s="104" vm="1911">
        <f ca="1"/>
        <v>46083</v>
      </c>
      <c r="AE249" s="104" vm="1918">
        <f ca="1"/>
        <v>451.4</v>
      </c>
      <c r="AF249" s="105">
        <f t="shared" ca="1" si="27"/>
        <v>-1.2793876435210572E-2</v>
      </c>
    </row>
    <row r="250" spans="2:32" x14ac:dyDescent="0.3">
      <c r="B250" s="104" vm="1919">
        <f ca="1"/>
        <v>46090</v>
      </c>
      <c r="C250" s="104" vm="1920">
        <f ca="1"/>
        <v>2196.8000000000002</v>
      </c>
      <c r="D250" s="105">
        <f t="shared" ca="1" si="21"/>
        <v>-3.6279885939899059E-2</v>
      </c>
      <c r="F250" s="104" vm="1919">
        <f ca="1"/>
        <v>46090</v>
      </c>
      <c r="G250" s="104" vm="1921">
        <f ca="1"/>
        <v>23151.1</v>
      </c>
      <c r="H250" s="105">
        <f t="shared" ca="1" si="22"/>
        <v>-5.3142171207482991E-2</v>
      </c>
      <c r="N250" s="104" vm="1919">
        <f ca="1"/>
        <v>46090</v>
      </c>
      <c r="O250" s="104" vm="1922">
        <f ca="1"/>
        <v>182.14</v>
      </c>
      <c r="P250" s="105">
        <f t="shared" ca="1" si="23"/>
        <v>-3.7264126010888576E-2</v>
      </c>
      <c r="R250" s="104" vm="1919">
        <f ca="1"/>
        <v>46090</v>
      </c>
      <c r="S250" s="104" vm="1923">
        <f ca="1"/>
        <v>407.8</v>
      </c>
      <c r="T250" s="105">
        <f t="shared" ca="1" si="24"/>
        <v>-7.3813309107426783E-2</v>
      </c>
      <c r="V250" s="104" vm="1919">
        <f ca="1"/>
        <v>46090</v>
      </c>
      <c r="W250" s="104" vm="1924">
        <f ca="1"/>
        <v>2866</v>
      </c>
      <c r="X250" s="105">
        <f t="shared" ca="1" si="25"/>
        <v>3.2867233674499063E-2</v>
      </c>
      <c r="Z250" s="104" vm="1919">
        <f ca="1"/>
        <v>46090</v>
      </c>
      <c r="AA250" s="104" vm="1925">
        <f ca="1"/>
        <v>786.85</v>
      </c>
      <c r="AB250" s="105">
        <f t="shared" ca="1" si="26"/>
        <v>-9.9198626216370878E-2</v>
      </c>
      <c r="AD250" s="104" vm="1919">
        <f ca="1"/>
        <v>46090</v>
      </c>
      <c r="AE250" s="104" vm="1926">
        <f ca="1"/>
        <v>410.25</v>
      </c>
      <c r="AF250" s="105">
        <f t="shared" ca="1" si="27"/>
        <v>-9.1160832964111593E-2</v>
      </c>
    </row>
    <row r="251" spans="2:32" x14ac:dyDescent="0.3">
      <c r="B251" s="104" vm="1927">
        <f ca="1"/>
        <v>46097</v>
      </c>
      <c r="C251" s="104" vm="1928">
        <f ca="1"/>
        <v>2195.4</v>
      </c>
      <c r="D251" s="105">
        <f t="shared" ca="1" si="21"/>
        <v>-6.3729060451567232E-4</v>
      </c>
      <c r="F251" s="104" vm="1927">
        <f ca="1"/>
        <v>46097</v>
      </c>
      <c r="G251" s="104" vm="1929">
        <f ca="1"/>
        <v>23114.5</v>
      </c>
      <c r="H251" s="105">
        <f t="shared" ca="1" si="22"/>
        <v>-1.5809184012853805E-3</v>
      </c>
      <c r="N251" s="104" vm="1927">
        <f ca="1"/>
        <v>46097</v>
      </c>
      <c r="O251" s="104" vm="1930">
        <f ca="1"/>
        <v>166.77</v>
      </c>
      <c r="P251" s="105">
        <f t="shared" ca="1" si="23"/>
        <v>-8.4385637421763304E-2</v>
      </c>
      <c r="R251" s="104" vm="1927">
        <f ca="1"/>
        <v>46097</v>
      </c>
      <c r="S251" s="104" vm="1931">
        <f ca="1"/>
        <v>416.7</v>
      </c>
      <c r="T251" s="105">
        <f t="shared" ca="1" si="24"/>
        <v>2.1824423737125898E-2</v>
      </c>
      <c r="V251" s="104" vm="1927">
        <f ca="1"/>
        <v>46097</v>
      </c>
      <c r="W251" s="104" vm="1932">
        <f ca="1"/>
        <v>2885.1</v>
      </c>
      <c r="X251" s="105">
        <f t="shared" ca="1" si="25"/>
        <v>6.6643405443125303E-3</v>
      </c>
      <c r="Z251" s="104" vm="1927">
        <f ca="1"/>
        <v>46097</v>
      </c>
      <c r="AA251" s="104" vm="1933">
        <f ca="1"/>
        <v>743.75</v>
      </c>
      <c r="AB251" s="105">
        <f t="shared" ca="1" si="26"/>
        <v>-5.4775370146787905E-2</v>
      </c>
      <c r="AD251" s="104" vm="1927">
        <f ca="1"/>
        <v>46097</v>
      </c>
      <c r="AE251" s="104" vm="1934">
        <f ca="1"/>
        <v>429.25</v>
      </c>
      <c r="AF251" s="105">
        <f t="shared" ca="1" si="27"/>
        <v>4.6313223644119494E-2</v>
      </c>
    </row>
    <row r="252" spans="2:32" x14ac:dyDescent="0.3">
      <c r="B252" s="104" vm="1935">
        <f ca="1"/>
        <v>46104</v>
      </c>
      <c r="C252" s="104" vm="1936">
        <f ca="1"/>
        <v>2207.4</v>
      </c>
      <c r="D252" s="105">
        <f t="shared" ca="1" si="21"/>
        <v>5.4659743099207958E-3</v>
      </c>
      <c r="F252" s="104" vm="1935">
        <f ca="1"/>
        <v>46104</v>
      </c>
      <c r="G252" s="104" vm="1937">
        <f ca="1"/>
        <v>22819.599999999999</v>
      </c>
      <c r="H252" s="105">
        <f t="shared" ca="1" si="22"/>
        <v>-1.275822535637805E-2</v>
      </c>
      <c r="N252" s="104" vm="1935">
        <f ca="1"/>
        <v>46104</v>
      </c>
      <c r="O252" s="104" vm="1938">
        <f ca="1"/>
        <v>170.5</v>
      </c>
      <c r="P252" s="105">
        <f t="shared" ca="1" si="23"/>
        <v>2.2366132997541532E-2</v>
      </c>
      <c r="R252" s="104" vm="1935">
        <f ca="1"/>
        <v>46104</v>
      </c>
      <c r="S252" s="104" vm="1939">
        <f ca="1"/>
        <v>414.65</v>
      </c>
      <c r="T252" s="105">
        <f t="shared" ca="1" si="24"/>
        <v>-4.9196064314854793E-3</v>
      </c>
      <c r="V252" s="104" vm="1935">
        <f ca="1"/>
        <v>46104</v>
      </c>
      <c r="W252" s="104" vm="1940">
        <f ca="1"/>
        <v>2947.5</v>
      </c>
      <c r="X252" s="105">
        <f t="shared" ca="1" si="25"/>
        <v>2.1628366434438995E-2</v>
      </c>
      <c r="Z252" s="104" vm="1935">
        <f ca="1"/>
        <v>46104</v>
      </c>
      <c r="AA252" s="104" vm="1941">
        <f ca="1"/>
        <v>730.8</v>
      </c>
      <c r="AB252" s="105">
        <f t="shared" ca="1" si="26"/>
        <v>-1.741176470588246E-2</v>
      </c>
      <c r="AD252" s="104" vm="1935">
        <f ca="1"/>
        <v>46104</v>
      </c>
      <c r="AE252" s="104" vm="1942">
        <f ca="1"/>
        <v>419.7</v>
      </c>
      <c r="AF252" s="105">
        <f t="shared" ca="1" si="27"/>
        <v>-2.2248107163657549E-2</v>
      </c>
    </row>
    <row r="253" spans="2:32" x14ac:dyDescent="0.3">
      <c r="B253" s="104" vm="1943">
        <f ca="1"/>
        <v>46111</v>
      </c>
      <c r="C253" s="104" vm="1944">
        <f ca="1"/>
        <v>2169</v>
      </c>
      <c r="D253" s="105">
        <f t="shared" ca="1" si="21"/>
        <v>-1.7396031530307221E-2</v>
      </c>
      <c r="F253" s="104" vm="1943">
        <f ca="1"/>
        <v>46111</v>
      </c>
      <c r="G253" s="104" vm="1945">
        <f ca="1"/>
        <v>22713.1</v>
      </c>
      <c r="H253" s="105">
        <f t="shared" ca="1" si="22"/>
        <v>-4.6670406142088616E-3</v>
      </c>
      <c r="N253" s="104" vm="1943">
        <f ca="1"/>
        <v>46111</v>
      </c>
      <c r="O253" s="104" vm="1946">
        <f ca="1"/>
        <v>178.6</v>
      </c>
      <c r="P253" s="105">
        <f t="shared" ca="1" si="23"/>
        <v>4.7507331378298989E-2</v>
      </c>
      <c r="R253" s="104" vm="1943">
        <f ca="1"/>
        <v>46111</v>
      </c>
      <c r="S253" s="104" vm="1947">
        <f ca="1"/>
        <v>422.25</v>
      </c>
      <c r="T253" s="105">
        <f t="shared" ca="1" si="24"/>
        <v>1.8328710961051486E-2</v>
      </c>
      <c r="V253" s="104" vm="1943">
        <f ca="1"/>
        <v>46111</v>
      </c>
      <c r="W253" s="104" vm="1948">
        <f ca="1"/>
        <v>2991.8</v>
      </c>
      <c r="X253" s="105">
        <f t="shared" ca="1" si="25"/>
        <v>1.5029686174724333E-2</v>
      </c>
      <c r="Z253" s="104" vm="1943">
        <f ca="1"/>
        <v>46111</v>
      </c>
      <c r="AA253" s="104" vm="1949">
        <f ca="1"/>
        <v>767.6</v>
      </c>
      <c r="AB253" s="105">
        <f t="shared" ca="1" si="26"/>
        <v>5.0355774493705541E-2</v>
      </c>
      <c r="AD253" s="104" vm="1943">
        <f ca="1"/>
        <v>46111</v>
      </c>
      <c r="AE253" s="104" vm="1950">
        <f ca="1"/>
        <v>422.1</v>
      </c>
      <c r="AF253" s="105">
        <f t="shared" ca="1" si="27"/>
        <v>5.7183702644747481E-3</v>
      </c>
    </row>
    <row r="254" spans="2:32" x14ac:dyDescent="0.3">
      <c r="B254" s="104" vm="1951">
        <f ca="1"/>
        <v>46118</v>
      </c>
      <c r="C254" s="104" vm="1952">
        <f ca="1"/>
        <v>2360.6999999999998</v>
      </c>
      <c r="D254" s="105">
        <f t="shared" ca="1" si="21"/>
        <v>8.838174273858912E-2</v>
      </c>
      <c r="F254" s="104" vm="1951">
        <f ca="1"/>
        <v>46118</v>
      </c>
      <c r="G254" s="104" vm="1953">
        <f ca="1"/>
        <v>24050.6</v>
      </c>
      <c r="H254" s="105">
        <f t="shared" ca="1" si="22"/>
        <v>5.8886721759689342E-2</v>
      </c>
      <c r="N254" s="104" vm="1951">
        <f ca="1"/>
        <v>46118</v>
      </c>
      <c r="O254" s="104" vm="1954">
        <f ca="1"/>
        <v>191.52</v>
      </c>
      <c r="P254" s="105">
        <f t="shared" ca="1" si="23"/>
        <v>7.2340425531914887E-2</v>
      </c>
      <c r="R254" s="104" vm="1951">
        <f ca="1"/>
        <v>46118</v>
      </c>
      <c r="S254" s="104" vm="1955">
        <f ca="1"/>
        <v>454</v>
      </c>
      <c r="T254" s="105">
        <f t="shared" ca="1" si="24"/>
        <v>7.519242155121364E-2</v>
      </c>
      <c r="V254" s="104" vm="1951">
        <f ca="1"/>
        <v>46118</v>
      </c>
      <c r="W254" s="104" vm="1956">
        <f ca="1"/>
        <v>2975.7</v>
      </c>
      <c r="X254" s="105">
        <f t="shared" ca="1" si="25"/>
        <v>-5.3813757604118662E-3</v>
      </c>
      <c r="Z254" s="104" vm="1951">
        <f ca="1"/>
        <v>46118</v>
      </c>
      <c r="AA254" s="104" vm="1957">
        <f ca="1"/>
        <v>810.9</v>
      </c>
      <c r="AB254" s="105">
        <f t="shared" ca="1" si="26"/>
        <v>5.6409588327253735E-2</v>
      </c>
      <c r="AD254" s="104" vm="1951">
        <f ca="1"/>
        <v>46118</v>
      </c>
      <c r="AE254" s="104" vm="1958">
        <f ca="1"/>
        <v>437.15</v>
      </c>
      <c r="AF254" s="105">
        <f t="shared" ca="1" si="27"/>
        <v>3.5655058043117638E-2</v>
      </c>
    </row>
    <row r="255" spans="2:32" x14ac:dyDescent="0.3">
      <c r="B255" s="104" vm="1959">
        <f ca="1"/>
        <v>46125</v>
      </c>
      <c r="C255" s="104" vm="1960">
        <f ca="1"/>
        <v>2464</v>
      </c>
      <c r="D255" s="105">
        <f t="shared" ca="1" si="21"/>
        <v>4.3758207311390684E-2</v>
      </c>
      <c r="F255" s="104" vm="1959">
        <f ca="1"/>
        <v>46125</v>
      </c>
      <c r="G255" s="104" vm="1961">
        <f ca="1"/>
        <v>24353.55</v>
      </c>
      <c r="H255" s="105">
        <f t="shared" ca="1" si="22"/>
        <v>1.2596359342386565E-2</v>
      </c>
      <c r="N255" s="104" vm="1959">
        <f ca="1"/>
        <v>46125</v>
      </c>
      <c r="O255" s="104" vm="1962">
        <f ca="1"/>
        <v>203.09</v>
      </c>
      <c r="P255" s="105">
        <f t="shared" ca="1" si="23"/>
        <v>6.0411445279866305E-2</v>
      </c>
      <c r="R255" s="104" vm="1959">
        <f ca="1"/>
        <v>46125</v>
      </c>
      <c r="S255" s="104" vm="1963">
        <f ca="1"/>
        <v>468.6</v>
      </c>
      <c r="T255" s="105">
        <f t="shared" ca="1" si="24"/>
        <v>3.2158590308370094E-2</v>
      </c>
      <c r="V255" s="104" vm="1959">
        <f ca="1"/>
        <v>46125</v>
      </c>
      <c r="W255" s="104" vm="1964">
        <f ca="1"/>
        <v>2925.3</v>
      </c>
      <c r="X255" s="105">
        <f t="shared" ca="1" si="25"/>
        <v>-1.6937191249117745E-2</v>
      </c>
      <c r="Z255" s="104" vm="1959">
        <f ca="1"/>
        <v>46125</v>
      </c>
      <c r="AA255" s="104" vm="1965">
        <f ca="1"/>
        <v>838</v>
      </c>
      <c r="AB255" s="105">
        <f t="shared" ca="1" si="26"/>
        <v>3.3419657171044559E-2</v>
      </c>
      <c r="AD255" s="104" vm="1959">
        <f ca="1"/>
        <v>46125</v>
      </c>
      <c r="AE255" s="104" vm="1966">
        <f ca="1"/>
        <v>456.7</v>
      </c>
      <c r="AF255" s="105">
        <f t="shared" ca="1" si="27"/>
        <v>4.4721491478897368E-2</v>
      </c>
    </row>
    <row r="256" spans="2:32" x14ac:dyDescent="0.3">
      <c r="B256" s="104" vm="1967">
        <f ca="1"/>
        <v>46132</v>
      </c>
      <c r="C256" s="104" vm="1968">
        <f ca="1"/>
        <v>2485.1</v>
      </c>
      <c r="D256" s="105">
        <f t="shared" ca="1" si="21"/>
        <v>8.5633116883117033E-3</v>
      </c>
      <c r="F256" s="104" vm="1967">
        <f ca="1"/>
        <v>46132</v>
      </c>
      <c r="G256" s="104" vm="1969">
        <f ca="1"/>
        <v>23897.95</v>
      </c>
      <c r="H256" s="105">
        <f t="shared" ca="1" si="22"/>
        <v>-1.8707744866764742E-2</v>
      </c>
      <c r="N256" s="104" vm="1967">
        <f ca="1"/>
        <v>46132</v>
      </c>
      <c r="O256" s="104" vm="1970">
        <f ca="1"/>
        <v>197.15</v>
      </c>
      <c r="P256" s="105">
        <f t="shared" ca="1" si="23"/>
        <v>-2.9248116598552309E-2</v>
      </c>
      <c r="R256" s="104" vm="1967">
        <f ca="1"/>
        <v>46132</v>
      </c>
      <c r="S256" s="104" vm="1971">
        <f ca="1"/>
        <v>460.4</v>
      </c>
      <c r="T256" s="105">
        <f t="shared" ca="1" si="24"/>
        <v>-1.749893299189087E-2</v>
      </c>
      <c r="V256" s="104" vm="1967">
        <f ca="1"/>
        <v>46132</v>
      </c>
      <c r="W256" s="104" vm="1972">
        <f ca="1"/>
        <v>2947.8</v>
      </c>
      <c r="X256" s="105">
        <f t="shared" ca="1" si="25"/>
        <v>7.6915188185826544E-3</v>
      </c>
      <c r="Z256" s="104" vm="1967">
        <f ca="1"/>
        <v>46132</v>
      </c>
      <c r="AA256" s="104" vm="1973">
        <f ca="1"/>
        <v>860.05</v>
      </c>
      <c r="AB256" s="105">
        <f t="shared" ca="1" si="26"/>
        <v>2.6312649164677682E-2</v>
      </c>
      <c r="AD256" s="104" vm="1967">
        <f ca="1"/>
        <v>46132</v>
      </c>
      <c r="AE256" s="104" vm="1974">
        <f ca="1"/>
        <v>437.3</v>
      </c>
      <c r="AF256" s="105">
        <f t="shared" ca="1" si="27"/>
        <v>-4.2478651193343486E-2</v>
      </c>
    </row>
    <row r="257" spans="2:32" x14ac:dyDescent="0.3">
      <c r="B257" s="104" vm="1975">
        <f ca="1"/>
        <v>46139</v>
      </c>
      <c r="C257" s="104" vm="1976">
        <f ca="1"/>
        <v>2444.5</v>
      </c>
      <c r="D257" s="105">
        <f t="shared" ca="1" si="21"/>
        <v>-1.6337370729548106E-2</v>
      </c>
      <c r="F257" s="104" vm="1975">
        <f ca="1"/>
        <v>46139</v>
      </c>
      <c r="G257" s="104" vm="1977">
        <f ca="1"/>
        <v>23997.55</v>
      </c>
      <c r="H257" s="105">
        <f t="shared" ca="1" si="22"/>
        <v>4.167721499124255E-3</v>
      </c>
      <c r="N257" s="104" vm="1975">
        <f ca="1"/>
        <v>46139</v>
      </c>
      <c r="O257" s="104" vm="1978">
        <f ca="1"/>
        <v>197.19</v>
      </c>
      <c r="P257" s="105">
        <f t="shared" ca="1" si="23"/>
        <v>2.0289119959415736E-4</v>
      </c>
      <c r="R257" s="104" vm="1975">
        <f ca="1"/>
        <v>46139</v>
      </c>
      <c r="S257" s="104" vm="1979">
        <f ca="1"/>
        <v>473.1</v>
      </c>
      <c r="T257" s="105">
        <f t="shared" ca="1" si="24"/>
        <v>2.7584708948740433E-2</v>
      </c>
      <c r="V257" s="104" vm="1975">
        <f ca="1"/>
        <v>46139</v>
      </c>
      <c r="W257" s="104" vm="1980">
        <f ca="1"/>
        <v>2950.7</v>
      </c>
      <c r="X257" s="105">
        <f t="shared" ca="1" si="25"/>
        <v>9.8378451726688354E-4</v>
      </c>
      <c r="Z257" s="104" vm="1975">
        <f ca="1"/>
        <v>46139</v>
      </c>
      <c r="AA257" s="104" vm="1981">
        <f ca="1"/>
        <v>860.2</v>
      </c>
      <c r="AB257" s="105">
        <f t="shared" ca="1" si="26"/>
        <v>1.7440846462424275E-4</v>
      </c>
      <c r="AD257" s="104" vm="1975">
        <f ca="1"/>
        <v>46139</v>
      </c>
      <c r="AE257" s="104" vm="1982">
        <f ca="1"/>
        <v>423.75</v>
      </c>
      <c r="AF257" s="105">
        <f t="shared" ca="1" si="27"/>
        <v>-3.0985593414132206E-2</v>
      </c>
    </row>
    <row r="258" spans="2:32" x14ac:dyDescent="0.3">
      <c r="B258" s="104" vm="1983">
        <f ca="1"/>
        <v>46146</v>
      </c>
      <c r="C258" s="104" vm="1984">
        <f ca="1"/>
        <v>2599.9</v>
      </c>
      <c r="D258" s="105">
        <f t="shared" ca="1" si="21"/>
        <v>6.3571282470852974E-2</v>
      </c>
      <c r="F258" s="104" vm="1983">
        <f ca="1"/>
        <v>46146</v>
      </c>
      <c r="G258" s="104" vm="1985">
        <f ca="1"/>
        <v>24176.15</v>
      </c>
      <c r="H258" s="105">
        <f t="shared" ca="1" si="22"/>
        <v>7.4424264143633234E-3</v>
      </c>
      <c r="N258" s="104" vm="1983">
        <f ca="1"/>
        <v>46146</v>
      </c>
      <c r="O258" s="104" vm="1986">
        <f ca="1"/>
        <v>220.35</v>
      </c>
      <c r="P258" s="105">
        <f t="shared" ca="1" si="23"/>
        <v>0.11745017495816223</v>
      </c>
      <c r="R258" s="104" vm="1983">
        <f ca="1"/>
        <v>46146</v>
      </c>
      <c r="S258" s="104" vm="1987">
        <f ca="1"/>
        <v>515.75</v>
      </c>
      <c r="T258" s="105">
        <f t="shared" ca="1" si="24"/>
        <v>9.0150073980131085E-2</v>
      </c>
      <c r="V258" s="104" vm="1983">
        <f ca="1"/>
        <v>46146</v>
      </c>
      <c r="W258" s="104" vm="1988">
        <f ca="1"/>
        <v>2949.4</v>
      </c>
      <c r="X258" s="105">
        <f t="shared" ca="1" si="25"/>
        <v>-4.4057342325543036E-4</v>
      </c>
      <c r="Z258" s="104" vm="1983">
        <f ca="1"/>
        <v>46146</v>
      </c>
      <c r="AA258" s="104" vm="1989">
        <f ca="1"/>
        <v>974.15</v>
      </c>
      <c r="AB258" s="105">
        <f t="shared" ca="1" si="26"/>
        <v>0.13246919321088102</v>
      </c>
      <c r="AD258" s="104" vm="1983">
        <f ca="1"/>
        <v>46146</v>
      </c>
      <c r="AE258" s="104" vm="1990">
        <f ca="1"/>
        <v>423.1</v>
      </c>
      <c r="AF258" s="105">
        <f t="shared" ca="1" si="27"/>
        <v>-1.5339233038347277E-3</v>
      </c>
    </row>
    <row r="259" spans="2:32" x14ac:dyDescent="0.3">
      <c r="B259" s="104" vm="1991">
        <f ca="1"/>
        <v>46153</v>
      </c>
      <c r="C259" s="104" vm="1992">
        <f ca="1"/>
        <v>2605.6</v>
      </c>
      <c r="D259" s="105">
        <f t="shared" ca="1" si="21"/>
        <v>2.1923920150774823E-3</v>
      </c>
      <c r="F259" s="104" vm="1991">
        <f ca="1"/>
        <v>46153</v>
      </c>
      <c r="G259" s="104" vm="1993">
        <f ca="1"/>
        <v>23643.5</v>
      </c>
      <c r="H259" s="105">
        <f t="shared" ca="1" si="22"/>
        <v>-2.2032043977225579E-2</v>
      </c>
      <c r="N259" s="104" vm="1991">
        <f ca="1"/>
        <v>46153</v>
      </c>
      <c r="O259" s="104" vm="1994">
        <f ca="1"/>
        <v>222.07</v>
      </c>
      <c r="P259" s="105">
        <f t="shared" ca="1" si="23"/>
        <v>7.8057635579760198E-3</v>
      </c>
      <c r="R259" s="104" vm="1991">
        <f ca="1"/>
        <v>46153</v>
      </c>
      <c r="S259" s="104" vm="1685">
        <f ca="1"/>
        <v>533.45000000000005</v>
      </c>
      <c r="T259" s="105">
        <f t="shared" ca="1" si="24"/>
        <v>3.4318952981095663E-2</v>
      </c>
      <c r="V259" s="104" vm="1991">
        <f ca="1"/>
        <v>46153</v>
      </c>
      <c r="W259" s="104" vm="1995">
        <f ca="1"/>
        <v>2936.8</v>
      </c>
      <c r="X259" s="105">
        <f t="shared" ca="1" si="25"/>
        <v>-4.2720553332881162E-3</v>
      </c>
      <c r="Z259" s="104" vm="1991">
        <f ca="1"/>
        <v>46153</v>
      </c>
      <c r="AA259" s="104" vm="1996">
        <f ca="1"/>
        <v>985.3</v>
      </c>
      <c r="AB259" s="105">
        <f t="shared" ca="1" si="26"/>
        <v>1.1445875891803015E-2</v>
      </c>
      <c r="AD259" s="104" vm="1991">
        <f ca="1"/>
        <v>46153</v>
      </c>
      <c r="AE259" s="104" vm="1997">
        <f ca="1"/>
        <v>436.3</v>
      </c>
      <c r="AF259" s="105">
        <f t="shared" ca="1" si="27"/>
        <v>3.1198298274639491E-2</v>
      </c>
    </row>
    <row r="260" spans="2:32" x14ac:dyDescent="0.3">
      <c r="B260" s="104" vm="1998">
        <f ca="1"/>
        <v>46160</v>
      </c>
      <c r="C260" s="104" vm="1999">
        <f ca="1"/>
        <v>2639.8</v>
      </c>
      <c r="D260" s="105">
        <f t="shared" ca="1" si="21"/>
        <v>1.3125575683144097E-2</v>
      </c>
      <c r="F260" s="104" vm="1998">
        <f ca="1"/>
        <v>46160</v>
      </c>
      <c r="G260" s="104" vm="2000">
        <f ca="1"/>
        <v>23719.3</v>
      </c>
      <c r="H260" s="105">
        <f t="shared" ca="1" si="22"/>
        <v>3.2059551250871454E-3</v>
      </c>
      <c r="N260" s="104" vm="1998">
        <f ca="1"/>
        <v>46160</v>
      </c>
      <c r="O260" s="104" vm="2001">
        <f ca="1"/>
        <v>217.94</v>
      </c>
      <c r="P260" s="105">
        <f t="shared" ca="1" si="23"/>
        <v>-1.859773945152432E-2</v>
      </c>
      <c r="R260" s="104" vm="1998">
        <f ca="1"/>
        <v>46160</v>
      </c>
      <c r="S260" s="104" vm="2002">
        <f ca="1"/>
        <v>501.15</v>
      </c>
      <c r="T260" s="105">
        <f t="shared" ca="1" si="24"/>
        <v>-6.0549254850501555E-2</v>
      </c>
      <c r="V260" s="104" vm="1998">
        <f ca="1"/>
        <v>46160</v>
      </c>
      <c r="W260" s="104" vm="2003">
        <f ca="1"/>
        <v>2897</v>
      </c>
      <c r="X260" s="105">
        <f t="shared" ca="1" si="25"/>
        <v>-1.3552165622446211E-2</v>
      </c>
      <c r="Z260" s="104" vm="1998">
        <f ca="1"/>
        <v>46160</v>
      </c>
      <c r="AA260" s="104" vm="2004">
        <f ca="1"/>
        <v>1003.4</v>
      </c>
      <c r="AB260" s="105">
        <f t="shared" ca="1" si="26"/>
        <v>1.8370039581853348E-2</v>
      </c>
      <c r="AD260" s="104" vm="1998">
        <f ca="1"/>
        <v>46160</v>
      </c>
      <c r="AE260" s="104" vm="2005">
        <f ca="1"/>
        <v>419.35</v>
      </c>
      <c r="AF260" s="105">
        <f t="shared" ca="1" si="27"/>
        <v>-3.8849415539766174E-2</v>
      </c>
    </row>
    <row r="261" spans="2:32" x14ac:dyDescent="0.3">
      <c r="B261" s="104" vm="2006">
        <f ca="1"/>
        <v>46167</v>
      </c>
      <c r="C261" s="104" vm="2007">
        <f ca="1"/>
        <v>2671.6</v>
      </c>
      <c r="D261" s="105">
        <f t="shared" ca="1" si="21"/>
        <v>1.2046367149026294E-2</v>
      </c>
      <c r="F261" s="104" vm="2006">
        <f ca="1"/>
        <v>46167</v>
      </c>
      <c r="G261" s="104" vm="2008">
        <f ca="1"/>
        <v>23547.75</v>
      </c>
      <c r="H261" s="105">
        <f t="shared" ca="1" si="22"/>
        <v>-7.2325068615008981E-3</v>
      </c>
      <c r="N261" s="104" vm="2006">
        <f ca="1"/>
        <v>46167</v>
      </c>
      <c r="O261" s="104" vm="2009">
        <f ca="1"/>
        <v>218.06</v>
      </c>
      <c r="P261" s="105">
        <f t="shared" ca="1" si="23"/>
        <v>5.5061025970459809E-4</v>
      </c>
      <c r="R261" s="104" vm="2006">
        <f ca="1"/>
        <v>46167</v>
      </c>
      <c r="S261" s="104" vm="2010">
        <f ca="1"/>
        <v>500.6</v>
      </c>
      <c r="T261" s="105">
        <f t="shared" ca="1" si="24"/>
        <v>-1.097475805646897E-3</v>
      </c>
      <c r="V261" s="104" vm="2006">
        <f ca="1"/>
        <v>46167</v>
      </c>
      <c r="W261" s="104" vm="2011">
        <f ca="1"/>
        <v>3151.8</v>
      </c>
      <c r="X261" s="105">
        <f t="shared" ca="1" si="25"/>
        <v>8.7953054884363224E-2</v>
      </c>
      <c r="Z261" s="104" vm="2006">
        <f ca="1"/>
        <v>46167</v>
      </c>
      <c r="AA261" s="104" vm="2012">
        <f ca="1"/>
        <v>990.9</v>
      </c>
      <c r="AB261" s="105">
        <f t="shared" ca="1" si="26"/>
        <v>-1.2457644010364755E-2</v>
      </c>
      <c r="AD261" s="104" vm="2006">
        <f ca="1"/>
        <v>46167</v>
      </c>
      <c r="AE261" s="104" vm="2013">
        <f ca="1"/>
        <v>417.7</v>
      </c>
      <c r="AF261" s="105">
        <f t="shared" ca="1" si="27"/>
        <v>-3.9346607845476278E-3</v>
      </c>
    </row>
    <row r="262" spans="2:32" x14ac:dyDescent="0.3">
      <c r="B262" s="104" vm="2014">
        <f ca="1"/>
        <v>46174</v>
      </c>
      <c r="C262" s="104" vm="2015">
        <f ca="1"/>
        <v>2686.7</v>
      </c>
      <c r="D262" s="105">
        <f t="shared" ca="1" si="21"/>
        <v>5.6520437191196482E-3</v>
      </c>
      <c r="F262" s="104" vm="2014">
        <f ca="1"/>
        <v>46174</v>
      </c>
      <c r="G262" s="104" vm="2016">
        <f ca="1"/>
        <v>23366.7</v>
      </c>
      <c r="H262" s="105">
        <f t="shared" ca="1" si="22"/>
        <v>-7.6886326719113329E-3</v>
      </c>
      <c r="N262" s="104" vm="2014">
        <f ca="1"/>
        <v>46174</v>
      </c>
      <c r="O262" s="104" vm="2017">
        <f ca="1"/>
        <v>210.89</v>
      </c>
      <c r="P262" s="105">
        <f t="shared" ca="1" si="23"/>
        <v>-3.2880858479317654E-2</v>
      </c>
      <c r="R262" s="104" vm="2014">
        <f ca="1"/>
        <v>46174</v>
      </c>
      <c r="S262" s="104" vm="1168">
        <f ca="1"/>
        <v>490.25</v>
      </c>
      <c r="T262" s="105">
        <f t="shared" ca="1" si="24"/>
        <v>-2.0675189772273339E-2</v>
      </c>
      <c r="V262" s="104" vm="2014">
        <f ca="1"/>
        <v>46174</v>
      </c>
      <c r="W262" s="104" vm="2018">
        <f ca="1"/>
        <v>3110.9</v>
      </c>
      <c r="X262" s="105">
        <f t="shared" ca="1" si="25"/>
        <v>-1.2976711720286804E-2</v>
      </c>
      <c r="Z262" s="104" vm="2014">
        <f ca="1"/>
        <v>46174</v>
      </c>
      <c r="AA262" s="104" vm="2019">
        <f ca="1"/>
        <v>954.2</v>
      </c>
      <c r="AB262" s="105">
        <f t="shared" ca="1" si="26"/>
        <v>-3.7037037037036979E-2</v>
      </c>
      <c r="AD262" s="104" vm="2014">
        <f ca="1"/>
        <v>46174</v>
      </c>
      <c r="AE262" s="104" vm="2020">
        <f ca="1"/>
        <v>419.45</v>
      </c>
      <c r="AF262" s="105">
        <f t="shared" ca="1" si="27"/>
        <v>4.1896097677758259E-3</v>
      </c>
    </row>
    <row r="263" spans="2:32" x14ac:dyDescent="0.3">
      <c r="B263" s="104" vm="2021">
        <f ca="1"/>
        <v>46181</v>
      </c>
      <c r="C263" s="104" vm="2022">
        <f ca="1"/>
        <v>2747.4</v>
      </c>
      <c r="D263" s="105">
        <f t="shared" ca="1" si="21"/>
        <v>2.2592771801838829E-2</v>
      </c>
      <c r="F263" s="104" vm="2021">
        <f ca="1"/>
        <v>46181</v>
      </c>
      <c r="G263" s="104" vm="2023">
        <f ca="1"/>
        <v>23622.9</v>
      </c>
      <c r="H263" s="105">
        <f t="shared" ca="1" si="22"/>
        <v>1.0964321020940027E-2</v>
      </c>
      <c r="N263" s="104" vm="2021">
        <f ca="1"/>
        <v>46181</v>
      </c>
      <c r="O263" s="104" vm="349">
        <f ca="1"/>
        <v>216.5</v>
      </c>
      <c r="P263" s="105">
        <f t="shared" ca="1" si="23"/>
        <v>2.6601545829579409E-2</v>
      </c>
      <c r="R263" s="104" vm="2021">
        <f ca="1"/>
        <v>46181</v>
      </c>
      <c r="S263" s="104" vm="2024">
        <f ca="1"/>
        <v>515.15</v>
      </c>
      <c r="T263" s="105">
        <f t="shared" ca="1" si="24"/>
        <v>5.0790413054563999E-2</v>
      </c>
      <c r="V263" s="104" vm="2021">
        <f ca="1"/>
        <v>46181</v>
      </c>
      <c r="W263" s="104" vm="2025">
        <f ca="1"/>
        <v>3168.4</v>
      </c>
      <c r="X263" s="105">
        <f t="shared" ca="1" si="25"/>
        <v>1.8483397087659448E-2</v>
      </c>
      <c r="Z263" s="104" vm="2021">
        <f ca="1"/>
        <v>46181</v>
      </c>
      <c r="AA263" s="104" vm="2026">
        <f ca="1"/>
        <v>995.2</v>
      </c>
      <c r="AB263" s="105">
        <f t="shared" ca="1" si="26"/>
        <v>4.2967931251310043E-2</v>
      </c>
      <c r="AD263" s="104" vm="2021">
        <f ca="1"/>
        <v>46181</v>
      </c>
      <c r="AE263" s="104" vm="2027">
        <f ca="1"/>
        <v>418.15</v>
      </c>
      <c r="AF263" s="105">
        <f t="shared" ca="1" si="27"/>
        <v>-3.0992966980569747E-3</v>
      </c>
    </row>
    <row r="264" spans="2:32" x14ac:dyDescent="0.3">
      <c r="B264" s="104" vm="2028">
        <f ca="1"/>
        <v>46188</v>
      </c>
      <c r="C264" s="104" vm="2029">
        <f ca="1"/>
        <v>2732.9</v>
      </c>
      <c r="D264" s="105">
        <f t="shared" ca="1" si="21"/>
        <v>-5.2777171143626456E-3</v>
      </c>
      <c r="F264" s="104" vm="2028">
        <f ca="1"/>
        <v>46188</v>
      </c>
      <c r="G264" s="104" vm="2030">
        <f ca="1"/>
        <v>24013.1</v>
      </c>
      <c r="H264" s="105">
        <f t="shared" ca="1" si="22"/>
        <v>1.6517870371546062E-2</v>
      </c>
      <c r="N264" s="104" vm="2028">
        <f ca="1"/>
        <v>46188</v>
      </c>
      <c r="O264" s="104" vm="2031">
        <f ca="1"/>
        <v>211.13</v>
      </c>
      <c r="P264" s="105">
        <f t="shared" ca="1" si="23"/>
        <v>-2.480369515011549E-2</v>
      </c>
      <c r="R264" s="104" vm="2028">
        <f ca="1"/>
        <v>46188</v>
      </c>
      <c r="S264" s="104" vm="2032">
        <f ca="1"/>
        <v>550.70000000000005</v>
      </c>
      <c r="T264" s="105">
        <f t="shared" ca="1" si="24"/>
        <v>6.9009026497136805E-2</v>
      </c>
      <c r="V264" s="104" vm="2028">
        <f ca="1"/>
        <v>46188</v>
      </c>
      <c r="W264" s="104" vm="2033">
        <f ca="1"/>
        <v>3291.8</v>
      </c>
      <c r="X264" s="105">
        <f t="shared" ca="1" si="25"/>
        <v>3.894710263855572E-2</v>
      </c>
      <c r="Z264" s="104" vm="2028">
        <f ca="1"/>
        <v>46188</v>
      </c>
      <c r="AA264" s="104" vm="2034">
        <f ca="1"/>
        <v>1025.1500000000001</v>
      </c>
      <c r="AB264" s="105">
        <f t="shared" ca="1" si="26"/>
        <v>3.0094453376205754E-2</v>
      </c>
      <c r="AD264" s="104" vm="2028">
        <f ca="1"/>
        <v>46188</v>
      </c>
      <c r="AE264" s="104" vm="2035">
        <f ca="1"/>
        <v>412.3</v>
      </c>
      <c r="AF264" s="105">
        <f t="shared" ca="1" si="27"/>
        <v>-1.3990194906134068E-2</v>
      </c>
    </row>
    <row r="265" spans="2:32" x14ac:dyDescent="0.3">
      <c r="B265" s="104" vm="2036">
        <f ca="1"/>
        <v>46195</v>
      </c>
      <c r="C265" s="104" vm="2037">
        <f ca="1"/>
        <v>2645.2</v>
      </c>
      <c r="D265" s="105">
        <f t="shared" ca="1" si="21"/>
        <v>-3.2090453364557847E-2</v>
      </c>
      <c r="F265" s="104" vm="2036">
        <f ca="1"/>
        <v>46195</v>
      </c>
      <c r="G265" s="104" vm="2038">
        <f ca="1"/>
        <v>24056</v>
      </c>
      <c r="H265" s="105">
        <f t="shared" ca="1" si="22"/>
        <v>1.7865248551833801E-3</v>
      </c>
      <c r="N265" s="104" vm="2036">
        <f ca="1"/>
        <v>46195</v>
      </c>
      <c r="O265" s="104" vm="2039">
        <f ca="1"/>
        <v>212.41</v>
      </c>
      <c r="P265" s="105">
        <f t="shared" ca="1" si="23"/>
        <v>6.0626154501965956E-3</v>
      </c>
      <c r="R265" s="104" vm="2036">
        <f ca="1"/>
        <v>46195</v>
      </c>
      <c r="S265" s="104" vm="2040">
        <f ca="1"/>
        <v>538.65</v>
      </c>
      <c r="T265" s="105">
        <f t="shared" ca="1" si="24"/>
        <v>-2.1881242055565742E-2</v>
      </c>
      <c r="V265" s="104" vm="2036">
        <f ca="1"/>
        <v>46195</v>
      </c>
      <c r="W265" s="104" vm="2041">
        <f ca="1"/>
        <v>3199.1</v>
      </c>
      <c r="X265" s="105">
        <f t="shared" ca="1" si="25"/>
        <v>-2.8160884622395077E-2</v>
      </c>
      <c r="Z265" s="104" vm="2036">
        <f ca="1"/>
        <v>46195</v>
      </c>
      <c r="AA265" s="104" vm="2042">
        <f ca="1"/>
        <v>1006.25</v>
      </c>
      <c r="AB265" s="105">
        <f t="shared" ca="1" si="26"/>
        <v>-1.8436326391259916E-2</v>
      </c>
      <c r="AD265" s="104" vm="2036">
        <f ca="1"/>
        <v>46195</v>
      </c>
      <c r="AE265" s="104" vm="2043">
        <f ca="1"/>
        <v>407.05</v>
      </c>
      <c r="AF265" s="105">
        <f t="shared" ca="1" si="27"/>
        <v>-1.2733446519524572E-2</v>
      </c>
    </row>
    <row r="266" spans="2:32" x14ac:dyDescent="0.3">
      <c r="B266" s="104" vm="2044">
        <f ca="1"/>
        <v>46202</v>
      </c>
      <c r="C266" s="104" vm="2045">
        <f ca="1"/>
        <v>2737.8</v>
      </c>
      <c r="D266" s="105">
        <f t="shared" ref="D266:D269" ca="1" si="28">C266/C265-1</f>
        <v>3.5006804778466849E-2</v>
      </c>
      <c r="F266" s="104" vm="2044">
        <f ca="1"/>
        <v>46202</v>
      </c>
      <c r="G266" s="104" vm="2046">
        <f ca="1"/>
        <v>24270.85</v>
      </c>
      <c r="H266" s="105">
        <f t="shared" ref="H266:H269" ca="1" si="29">G266/G265-1</f>
        <v>8.9312437645492349E-3</v>
      </c>
      <c r="N266" s="104" vm="2044">
        <f ca="1"/>
        <v>46202</v>
      </c>
      <c r="O266" s="104" vm="2047">
        <f ca="1"/>
        <v>211.83</v>
      </c>
      <c r="P266" s="105">
        <f t="shared" ref="P266:P269" ca="1" si="30">O266/O265-1</f>
        <v>-2.730568240666531E-3</v>
      </c>
      <c r="R266" s="104" vm="2044">
        <f ca="1"/>
        <v>46202</v>
      </c>
      <c r="S266" s="104" vm="2048">
        <f ca="1"/>
        <v>519.45000000000005</v>
      </c>
      <c r="T266" s="105">
        <f t="shared" ref="T266:T269" ca="1" si="31">S266/S265-1</f>
        <v>-3.5644667223614479E-2</v>
      </c>
      <c r="V266" s="104" vm="2044">
        <f ca="1"/>
        <v>46202</v>
      </c>
      <c r="W266" s="104" vm="2049">
        <f ca="1"/>
        <v>3276.6</v>
      </c>
      <c r="X266" s="105">
        <f t="shared" ref="X266:X269" ca="1" si="32">W266/W265-1</f>
        <v>2.422556343971749E-2</v>
      </c>
      <c r="Z266" s="104" vm="2044">
        <f ca="1"/>
        <v>46202</v>
      </c>
      <c r="AA266" s="104" vm="2050">
        <f ca="1"/>
        <v>1065.9000000000001</v>
      </c>
      <c r="AB266" s="105">
        <f t="shared" ref="AB266:AB269" ca="1" si="33">AA266/AA265-1</f>
        <v>5.9279503105590159E-2</v>
      </c>
      <c r="AD266" s="104" vm="2044">
        <f ca="1"/>
        <v>46202</v>
      </c>
      <c r="AE266" s="104" vm="2051">
        <f ca="1"/>
        <v>402.45</v>
      </c>
      <c r="AF266" s="105">
        <f t="shared" ref="AF266:AF269" ca="1" si="34">AE266/AE265-1</f>
        <v>-1.1300822994718129E-2</v>
      </c>
    </row>
    <row r="267" spans="2:32" x14ac:dyDescent="0.3">
      <c r="B267" s="104" vm="2052">
        <f ca="1"/>
        <v>46209</v>
      </c>
      <c r="C267" s="104" vm="2053">
        <f ca="1"/>
        <v>2677.8</v>
      </c>
      <c r="D267" s="105">
        <f t="shared" ca="1" si="28"/>
        <v>-2.1915406530791159E-2</v>
      </c>
      <c r="F267" s="104" vm="2052">
        <f ca="1"/>
        <v>46209</v>
      </c>
      <c r="G267" s="104" vm="2054">
        <f ca="1"/>
        <v>24206.9</v>
      </c>
      <c r="H267" s="105">
        <f t="shared" ca="1" si="29"/>
        <v>-2.6348479760699428E-3</v>
      </c>
      <c r="N267" s="104" vm="2052">
        <f ca="1"/>
        <v>46209</v>
      </c>
      <c r="O267" s="104" vm="2055">
        <f ca="1"/>
        <v>202.64</v>
      </c>
      <c r="P267" s="105">
        <f t="shared" ca="1" si="30"/>
        <v>-4.3383845536515198E-2</v>
      </c>
      <c r="R267" s="104" vm="2052">
        <f ca="1"/>
        <v>46209</v>
      </c>
      <c r="S267" s="104" vm="2056">
        <f ca="1"/>
        <v>497.25</v>
      </c>
      <c r="T267" s="105">
        <f t="shared" ca="1" si="31"/>
        <v>-4.2737510828761316E-2</v>
      </c>
      <c r="V267" s="104" vm="2052">
        <f ca="1"/>
        <v>46209</v>
      </c>
      <c r="W267" s="104" vm="2057">
        <f ca="1"/>
        <v>2933.5</v>
      </c>
      <c r="X267" s="105">
        <f t="shared" ca="1" si="32"/>
        <v>-0.10471220167246531</v>
      </c>
      <c r="Z267" s="104" vm="2052">
        <f ca="1"/>
        <v>46209</v>
      </c>
      <c r="AA267" s="104" vm="2058">
        <f ca="1"/>
        <v>1052.4000000000001</v>
      </c>
      <c r="AB267" s="105">
        <f t="shared" ca="1" si="33"/>
        <v>-1.2665353222628739E-2</v>
      </c>
      <c r="AD267" s="104" vm="2052">
        <f ca="1"/>
        <v>46209</v>
      </c>
      <c r="AE267" s="104" vm="2059">
        <f ca="1"/>
        <v>393.65</v>
      </c>
      <c r="AF267" s="105">
        <f t="shared" ca="1" si="34"/>
        <v>-2.1866070319294328E-2</v>
      </c>
    </row>
    <row r="268" spans="2:32" x14ac:dyDescent="0.3">
      <c r="B268" s="104" vm="2060">
        <f ca="1"/>
        <v>46216</v>
      </c>
      <c r="C268" s="104" vm="2061">
        <f ca="1"/>
        <v>2689</v>
      </c>
      <c r="D268" s="105">
        <f t="shared" ca="1" si="28"/>
        <v>4.1825379042497168E-3</v>
      </c>
      <c r="F268" s="104" vm="2060">
        <f ca="1"/>
        <v>46216</v>
      </c>
      <c r="G268" s="104" vm="2062">
        <f ca="1"/>
        <v>24334.3</v>
      </c>
      <c r="H268" s="105">
        <f t="shared" ca="1" si="29"/>
        <v>5.262962213253175E-3</v>
      </c>
      <c r="N268" s="104" vm="2060">
        <f ca="1"/>
        <v>46216</v>
      </c>
      <c r="O268" s="104" vm="2063">
        <f ca="1"/>
        <v>201.28</v>
      </c>
      <c r="P268" s="105">
        <f t="shared" ca="1" si="30"/>
        <v>-6.7114093959730337E-3</v>
      </c>
      <c r="R268" s="104" vm="2060">
        <f ca="1"/>
        <v>46216</v>
      </c>
      <c r="S268" s="104" vm="1397">
        <f ca="1"/>
        <v>493.7</v>
      </c>
      <c r="T268" s="105">
        <f t="shared" ca="1" si="31"/>
        <v>-7.1392659627953492E-3</v>
      </c>
      <c r="V268" s="104" vm="2060">
        <f ca="1"/>
        <v>46216</v>
      </c>
      <c r="W268" s="104" vm="2064">
        <f ca="1"/>
        <v>3034.1</v>
      </c>
      <c r="X268" s="105">
        <f t="shared" ca="1" si="32"/>
        <v>3.429350605079251E-2</v>
      </c>
      <c r="Z268" s="104" vm="2060">
        <f ca="1"/>
        <v>46216</v>
      </c>
      <c r="AA268" s="104" vm="2065">
        <f ca="1"/>
        <v>1065.0999999999999</v>
      </c>
      <c r="AB268" s="105">
        <f t="shared" ca="1" si="33"/>
        <v>1.2067654884074352E-2</v>
      </c>
      <c r="AD268" s="104" vm="2060">
        <f ca="1"/>
        <v>46216</v>
      </c>
      <c r="AE268" s="104" vm="2066">
        <f ca="1"/>
        <v>391</v>
      </c>
      <c r="AF268" s="105">
        <f t="shared" ca="1" si="34"/>
        <v>-6.7318684110249105E-3</v>
      </c>
    </row>
    <row r="269" spans="2:32" x14ac:dyDescent="0.3">
      <c r="B269" s="104" vm="2067">
        <f ca="1"/>
        <v>46223</v>
      </c>
      <c r="C269" s="104" vm="2068">
        <f ca="1"/>
        <v>2637.9</v>
      </c>
      <c r="D269" s="105">
        <f t="shared" ca="1" si="28"/>
        <v>-1.9003346969133528E-2</v>
      </c>
      <c r="F269" s="104" vm="2067">
        <f ca="1"/>
        <v>46223</v>
      </c>
      <c r="G269" s="104" vm="2069">
        <f ca="1"/>
        <v>23767.45</v>
      </c>
      <c r="H269" s="105">
        <f t="shared" ca="1" si="29"/>
        <v>-2.3294280090242925E-2</v>
      </c>
      <c r="N269" s="104" vm="2067">
        <f ca="1"/>
        <v>46223</v>
      </c>
      <c r="O269" s="104" vm="2070">
        <f ca="1"/>
        <v>193.19</v>
      </c>
      <c r="P269" s="105">
        <f t="shared" ca="1" si="30"/>
        <v>-4.0192766295707449E-2</v>
      </c>
      <c r="R269" s="104" vm="2067">
        <f ca="1"/>
        <v>46223</v>
      </c>
      <c r="S269" s="104" vm="2071">
        <f ca="1"/>
        <v>497.95</v>
      </c>
      <c r="T269" s="105">
        <f t="shared" ca="1" si="31"/>
        <v>8.6084666801702348E-3</v>
      </c>
      <c r="V269" s="104" vm="2067">
        <f ca="1"/>
        <v>46223</v>
      </c>
      <c r="W269" s="104" vm="2072">
        <f ca="1"/>
        <v>2943.9</v>
      </c>
      <c r="X269" s="105">
        <f t="shared" ca="1" si="32"/>
        <v>-2.9728749876404836E-2</v>
      </c>
      <c r="Z269" s="104" vm="2067">
        <f ca="1"/>
        <v>46223</v>
      </c>
      <c r="AA269" s="104" vm="2073">
        <f ca="1"/>
        <v>1048.9000000000001</v>
      </c>
      <c r="AB269" s="105">
        <f t="shared" ca="1" si="33"/>
        <v>-1.5209839451694518E-2</v>
      </c>
      <c r="AD269" s="104" vm="2067">
        <f ca="1"/>
        <v>46223</v>
      </c>
      <c r="AE269" s="104" vm="2074">
        <f ca="1"/>
        <v>393.45</v>
      </c>
      <c r="AF269" s="105">
        <f t="shared" ca="1" si="34"/>
        <v>6.2659846547314935E-3</v>
      </c>
    </row>
  </sheetData>
  <mergeCells count="8">
    <mergeCell ref="AD5:AF5"/>
    <mergeCell ref="F5:H5"/>
    <mergeCell ref="J5:L5"/>
    <mergeCell ref="J55:L55"/>
    <mergeCell ref="J35:L35"/>
    <mergeCell ref="J45:L45"/>
    <mergeCell ref="J15:L15"/>
    <mergeCell ref="J25:L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B9639-6872-4997-BC52-025D862E67FC}">
  <dimension ref="B2:G30"/>
  <sheetViews>
    <sheetView showGridLines="0" workbookViewId="0">
      <selection activeCell="G8" sqref="G8"/>
    </sheetView>
  </sheetViews>
  <sheetFormatPr defaultRowHeight="14.4" x14ac:dyDescent="0.3"/>
  <cols>
    <col min="1" max="1" width="1.88671875" customWidth="1"/>
  </cols>
  <sheetData>
    <row r="2" spans="2:7" x14ac:dyDescent="0.3">
      <c r="B2" s="281" t="s">
        <v>196</v>
      </c>
      <c r="C2" s="281"/>
    </row>
    <row r="3" spans="2:7" x14ac:dyDescent="0.3">
      <c r="B3" s="204" t="s">
        <v>143</v>
      </c>
      <c r="C3" s="205" t="s">
        <v>193</v>
      </c>
    </row>
    <row r="4" spans="2:7" x14ac:dyDescent="0.3">
      <c r="B4" s="206">
        <v>2015</v>
      </c>
      <c r="C4" s="207">
        <v>-4.0599999999999997E-2</v>
      </c>
    </row>
    <row r="5" spans="2:7" x14ac:dyDescent="0.3">
      <c r="B5" s="208">
        <v>2016</v>
      </c>
      <c r="C5" s="209">
        <v>3.0099999999999998E-2</v>
      </c>
      <c r="E5" t="s">
        <v>194</v>
      </c>
      <c r="G5" s="57">
        <f>AVERAGE(C4:C18)</f>
        <v>0.11344545454545453</v>
      </c>
    </row>
    <row r="6" spans="2:7" ht="16.2" x14ac:dyDescent="0.3">
      <c r="B6" s="206">
        <v>2017</v>
      </c>
      <c r="C6" s="207">
        <v>0.28649999999999998</v>
      </c>
      <c r="E6" t="s">
        <v>195</v>
      </c>
      <c r="G6" s="83" t="s">
        <v>878</v>
      </c>
    </row>
    <row r="7" spans="2:7" x14ac:dyDescent="0.3">
      <c r="B7" s="208">
        <v>2018</v>
      </c>
      <c r="C7" s="209">
        <v>3.15E-2</v>
      </c>
      <c r="E7" s="76" t="s">
        <v>197</v>
      </c>
      <c r="F7" s="76"/>
      <c r="G7" s="84">
        <f>SUM(G5:G6)</f>
        <v>0.11344545454545453</v>
      </c>
    </row>
    <row r="8" spans="2:7" x14ac:dyDescent="0.3">
      <c r="B8" s="206">
        <v>2019</v>
      </c>
      <c r="C8" s="207">
        <v>0.1202</v>
      </c>
    </row>
    <row r="9" spans="2:7" x14ac:dyDescent="0.3">
      <c r="B9" s="208">
        <v>2020</v>
      </c>
      <c r="C9" s="209">
        <v>0.14899999999999999</v>
      </c>
    </row>
    <row r="10" spans="2:7" x14ac:dyDescent="0.3">
      <c r="B10" s="206">
        <v>2021</v>
      </c>
      <c r="C10" s="207">
        <v>0.2412</v>
      </c>
    </row>
    <row r="11" spans="2:7" x14ac:dyDescent="0.3">
      <c r="B11" s="208">
        <v>2022</v>
      </c>
      <c r="C11" s="209">
        <v>4.3200000000000002E-2</v>
      </c>
    </row>
    <row r="12" spans="2:7" x14ac:dyDescent="0.3">
      <c r="B12" s="206">
        <v>2023</v>
      </c>
      <c r="C12" s="207">
        <v>0.19420000000000001</v>
      </c>
    </row>
    <row r="13" spans="2:7" x14ac:dyDescent="0.3">
      <c r="B13" s="208">
        <v>2024</v>
      </c>
      <c r="C13" s="209">
        <v>8.7499999999999994E-2</v>
      </c>
    </row>
    <row r="14" spans="2:7" x14ac:dyDescent="0.3">
      <c r="B14" s="206">
        <v>2025</v>
      </c>
      <c r="C14" s="207">
        <v>0.1051</v>
      </c>
    </row>
    <row r="16" spans="2:7" x14ac:dyDescent="0.3">
      <c r="F16" s="57"/>
    </row>
    <row r="30" spans="2:2" x14ac:dyDescent="0.3">
      <c r="B30" s="81"/>
    </row>
  </sheetData>
  <mergeCells count="1">
    <mergeCell ref="B2:C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876B-A23E-4678-A564-EFAF1CFF8009}">
  <dimension ref="B1:M8"/>
  <sheetViews>
    <sheetView workbookViewId="0">
      <selection activeCell="C16" sqref="C16"/>
    </sheetView>
  </sheetViews>
  <sheetFormatPr defaultRowHeight="14.4" x14ac:dyDescent="0.3"/>
  <cols>
    <col min="2" max="2" width="5.5546875" bestFit="1" customWidth="1"/>
    <col min="3" max="3" width="13.44140625" bestFit="1" customWidth="1"/>
    <col min="4" max="4" width="7.6640625" bestFit="1" customWidth="1"/>
    <col min="5" max="5" width="15" bestFit="1" customWidth="1"/>
    <col min="6" max="6" width="10.44140625" bestFit="1" customWidth="1"/>
    <col min="7" max="7" width="10" bestFit="1" customWidth="1"/>
    <col min="8" max="8" width="8.33203125" bestFit="1" customWidth="1"/>
    <col min="9" max="9" width="13.6640625" bestFit="1" customWidth="1"/>
    <col min="10" max="10" width="9.5546875" bestFit="1" customWidth="1"/>
    <col min="11" max="11" width="10.21875" bestFit="1" customWidth="1"/>
    <col min="12" max="12" width="12" bestFit="1" customWidth="1"/>
    <col min="13" max="13" width="13.21875" bestFit="1" customWidth="1"/>
  </cols>
  <sheetData>
    <row r="1" spans="2:13" x14ac:dyDescent="0.3">
      <c r="B1" s="110" t="s">
        <v>702</v>
      </c>
      <c r="C1" s="110" t="s">
        <v>703</v>
      </c>
      <c r="D1" s="110" t="s">
        <v>704</v>
      </c>
      <c r="E1" s="110" t="s">
        <v>705</v>
      </c>
      <c r="F1" s="110" t="s">
        <v>706</v>
      </c>
      <c r="G1" s="110" t="s">
        <v>707</v>
      </c>
      <c r="H1" s="110" t="s">
        <v>691</v>
      </c>
      <c r="I1" s="110" t="s">
        <v>708</v>
      </c>
      <c r="J1" s="110" t="s">
        <v>709</v>
      </c>
      <c r="K1" s="110" t="s">
        <v>710</v>
      </c>
      <c r="L1" s="110" t="s">
        <v>3</v>
      </c>
      <c r="M1" s="110" t="s">
        <v>711</v>
      </c>
    </row>
    <row r="2" spans="2:13" x14ac:dyDescent="0.3">
      <c r="B2" s="104">
        <v>1</v>
      </c>
      <c r="C2" s="104" t="s">
        <v>699</v>
      </c>
      <c r="D2" s="163">
        <v>2747.3</v>
      </c>
      <c r="E2" s="163">
        <v>95.92</v>
      </c>
      <c r="F2" s="163">
        <f>D2*E2</f>
        <v>263521.016</v>
      </c>
      <c r="G2" s="163">
        <v>3928.93</v>
      </c>
      <c r="H2" s="163">
        <f>G2-I2</f>
        <v>2855.25</v>
      </c>
      <c r="I2" s="163">
        <v>1073.68</v>
      </c>
      <c r="J2" s="163">
        <f>F2+G2-I2</f>
        <v>266376.266</v>
      </c>
      <c r="K2" s="163">
        <v>37186.93</v>
      </c>
      <c r="L2" s="104">
        <v>8471.1826540000002</v>
      </c>
      <c r="M2" s="104">
        <v>4837.09</v>
      </c>
    </row>
    <row r="3" spans="2:13" x14ac:dyDescent="0.3">
      <c r="B3" s="104">
        <v>2</v>
      </c>
      <c r="C3" s="104" t="s">
        <v>247</v>
      </c>
      <c r="D3" s="163">
        <v>520.45000000000005</v>
      </c>
      <c r="E3" s="163">
        <v>116.6</v>
      </c>
      <c r="F3" s="163">
        <f t="shared" ref="F3:F8" si="0">D3*E3</f>
        <v>60684.47</v>
      </c>
      <c r="G3" s="163">
        <v>635.13</v>
      </c>
      <c r="H3" s="163">
        <f t="shared" ref="H3:H8" si="1">G3-I3</f>
        <v>329.82</v>
      </c>
      <c r="I3" s="163">
        <v>305.31</v>
      </c>
      <c r="J3" s="163">
        <f t="shared" ref="J3:J8" si="2">F3+G3-I3</f>
        <v>61014.29</v>
      </c>
      <c r="K3" s="163">
        <v>11880.25</v>
      </c>
      <c r="L3" s="104">
        <v>2225.1708250000001</v>
      </c>
      <c r="M3" s="104">
        <v>1128.02</v>
      </c>
    </row>
    <row r="4" spans="2:13" x14ac:dyDescent="0.3">
      <c r="B4" s="104">
        <v>3</v>
      </c>
      <c r="C4" s="104" t="s">
        <v>700</v>
      </c>
      <c r="D4" s="163">
        <v>196.74</v>
      </c>
      <c r="E4" s="163">
        <v>80.87</v>
      </c>
      <c r="F4" s="163">
        <f t="shared" si="0"/>
        <v>15910.363800000001</v>
      </c>
      <c r="G4" s="163">
        <v>302.73</v>
      </c>
      <c r="H4" s="163">
        <f t="shared" si="1"/>
        <v>76.950000000000017</v>
      </c>
      <c r="I4" s="163">
        <v>225.78</v>
      </c>
      <c r="J4" s="163">
        <f t="shared" si="2"/>
        <v>15987.3138</v>
      </c>
      <c r="K4" s="163">
        <v>8051.91</v>
      </c>
      <c r="L4" s="104">
        <v>1202.9553539999999</v>
      </c>
      <c r="M4" s="104">
        <v>575.84</v>
      </c>
    </row>
    <row r="5" spans="2:13" x14ac:dyDescent="0.3">
      <c r="B5" s="104">
        <v>4</v>
      </c>
      <c r="C5" s="104" t="s">
        <v>249</v>
      </c>
      <c r="D5" s="163">
        <v>2938.8</v>
      </c>
      <c r="E5" s="163">
        <v>4.55</v>
      </c>
      <c r="F5" s="163">
        <f t="shared" si="0"/>
        <v>13371.54</v>
      </c>
      <c r="G5" s="163">
        <v>79.099999999999994</v>
      </c>
      <c r="H5" s="163">
        <f t="shared" si="1"/>
        <v>-244.6</v>
      </c>
      <c r="I5" s="163">
        <v>323.7</v>
      </c>
      <c r="J5" s="163">
        <f t="shared" si="2"/>
        <v>13126.94</v>
      </c>
      <c r="K5" s="163">
        <v>3599.2</v>
      </c>
      <c r="L5" s="104">
        <v>584.5100799999999</v>
      </c>
      <c r="M5" s="104">
        <v>1973.8</v>
      </c>
    </row>
    <row r="6" spans="2:13" x14ac:dyDescent="0.3">
      <c r="B6" s="104">
        <v>5</v>
      </c>
      <c r="C6" s="104" t="s">
        <v>250</v>
      </c>
      <c r="D6" s="163">
        <v>1111.8</v>
      </c>
      <c r="E6" s="163">
        <v>4.7699999999999996</v>
      </c>
      <c r="F6" s="163">
        <f t="shared" si="0"/>
        <v>5303.2859999999991</v>
      </c>
      <c r="G6" s="163">
        <v>18.37</v>
      </c>
      <c r="H6" s="163">
        <f t="shared" si="1"/>
        <v>-10.18</v>
      </c>
      <c r="I6" s="163">
        <v>28.55</v>
      </c>
      <c r="J6" s="163">
        <f t="shared" si="2"/>
        <v>5293.1059999999989</v>
      </c>
      <c r="K6" s="163">
        <v>1330.12</v>
      </c>
      <c r="L6" s="104">
        <v>302.20326399999999</v>
      </c>
      <c r="M6" s="104">
        <v>145.38999999999999</v>
      </c>
    </row>
    <row r="7" spans="2:13" x14ac:dyDescent="0.3">
      <c r="B7" s="104">
        <v>6</v>
      </c>
      <c r="C7" s="104" t="s">
        <v>251</v>
      </c>
      <c r="D7" s="163">
        <v>420.45</v>
      </c>
      <c r="E7" s="163">
        <v>5.68</v>
      </c>
      <c r="F7" s="163">
        <f t="shared" si="0"/>
        <v>2388.1559999999999</v>
      </c>
      <c r="G7" s="163">
        <v>32.32</v>
      </c>
      <c r="H7" s="163">
        <f t="shared" si="1"/>
        <v>-25.659999999999997</v>
      </c>
      <c r="I7" s="163">
        <v>57.98</v>
      </c>
      <c r="J7" s="163">
        <f t="shared" si="2"/>
        <v>2362.4960000000001</v>
      </c>
      <c r="K7" s="163">
        <v>508.26</v>
      </c>
      <c r="L7" s="104">
        <v>111.30893999999999</v>
      </c>
      <c r="M7" s="104">
        <v>67.05</v>
      </c>
    </row>
    <row r="8" spans="2:13" x14ac:dyDescent="0.3">
      <c r="B8" s="104">
        <v>7</v>
      </c>
      <c r="C8" s="104" t="s">
        <v>701</v>
      </c>
      <c r="D8" s="163">
        <v>66.680000000000007</v>
      </c>
      <c r="E8" s="163">
        <v>8.3699999999999992</v>
      </c>
      <c r="F8" s="163">
        <f t="shared" si="0"/>
        <v>558.11159999999995</v>
      </c>
      <c r="G8" s="163">
        <v>164.76</v>
      </c>
      <c r="H8" s="163">
        <f t="shared" si="1"/>
        <v>117.66999999999999</v>
      </c>
      <c r="I8" s="163">
        <v>47.09</v>
      </c>
      <c r="J8" s="163">
        <f t="shared" si="2"/>
        <v>675.78159999999991</v>
      </c>
      <c r="K8" s="163">
        <v>575.63</v>
      </c>
      <c r="L8" s="104">
        <v>-28.205870000000001</v>
      </c>
      <c r="M8" s="104">
        <v>-64.95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ADA7-75A9-4CC1-9278-31163A28BDC7}">
  <dimension ref="B2:AB76"/>
  <sheetViews>
    <sheetView showGridLines="0" topLeftCell="A37" zoomScale="62" workbookViewId="0">
      <selection activeCell="B27" sqref="B27"/>
    </sheetView>
  </sheetViews>
  <sheetFormatPr defaultRowHeight="14.4" x14ac:dyDescent="0.3"/>
  <cols>
    <col min="1" max="1" width="1.88671875" customWidth="1"/>
    <col min="2" max="2" width="26.21875" bestFit="1" customWidth="1"/>
    <col min="3" max="3" width="9.77734375" bestFit="1" customWidth="1"/>
    <col min="4" max="7" width="11" bestFit="1" customWidth="1"/>
    <col min="8" max="8" width="10.6640625" bestFit="1" customWidth="1"/>
    <col min="9" max="11" width="11.44140625" bestFit="1" customWidth="1"/>
    <col min="12" max="12" width="11" bestFit="1" customWidth="1"/>
    <col min="13" max="13" width="11.44140625" bestFit="1" customWidth="1"/>
    <col min="14" max="14" width="11" bestFit="1" customWidth="1"/>
    <col min="16" max="16" width="9.5546875" bestFit="1" customWidth="1"/>
    <col min="17" max="27" width="9" bestFit="1" customWidth="1"/>
  </cols>
  <sheetData>
    <row r="2" spans="2:28" x14ac:dyDescent="0.3">
      <c r="B2" s="279" t="str">
        <f>"Balance Sheet Raw"&amp;" - "&amp;Datasheet!$B$1</f>
        <v>Balance Sheet Raw - ASIAN PAINTS LTD</v>
      </c>
      <c r="C2" s="279"/>
      <c r="D2" s="279"/>
      <c r="E2" s="279"/>
      <c r="F2" s="279"/>
      <c r="G2" s="279"/>
      <c r="H2" s="279"/>
      <c r="I2" s="279"/>
      <c r="J2" s="279"/>
      <c r="K2" s="279"/>
      <c r="L2" s="279"/>
      <c r="M2" s="279"/>
      <c r="N2" s="279"/>
    </row>
    <row r="3" spans="2:28" x14ac:dyDescent="0.3">
      <c r="B3" s="9" t="s">
        <v>9</v>
      </c>
      <c r="C3" s="10">
        <v>42064</v>
      </c>
      <c r="D3" s="10">
        <v>42430</v>
      </c>
      <c r="E3" s="10">
        <v>42795</v>
      </c>
      <c r="F3" s="10">
        <v>43160</v>
      </c>
      <c r="G3" s="10">
        <v>43525</v>
      </c>
      <c r="H3" s="10">
        <v>43891</v>
      </c>
      <c r="I3" s="10">
        <v>44256</v>
      </c>
      <c r="J3" s="10">
        <v>44621</v>
      </c>
      <c r="K3" s="10">
        <v>44986</v>
      </c>
      <c r="L3" s="10">
        <v>45352</v>
      </c>
      <c r="M3" s="10">
        <v>45717</v>
      </c>
      <c r="N3" s="10">
        <v>46082</v>
      </c>
    </row>
    <row r="4" spans="2:28" x14ac:dyDescent="0.3">
      <c r="B4" s="1" t="s">
        <v>199</v>
      </c>
      <c r="C4" s="22">
        <v>96</v>
      </c>
      <c r="D4" s="22">
        <v>96</v>
      </c>
      <c r="E4" s="22">
        <v>96</v>
      </c>
      <c r="F4" s="22">
        <v>96</v>
      </c>
      <c r="G4" s="22">
        <v>96</v>
      </c>
      <c r="H4" s="22">
        <v>96</v>
      </c>
      <c r="I4" s="22">
        <v>96</v>
      </c>
      <c r="J4" s="22">
        <v>96</v>
      </c>
      <c r="K4" s="22">
        <v>96</v>
      </c>
      <c r="L4" s="22">
        <v>96</v>
      </c>
      <c r="M4" s="22">
        <v>96</v>
      </c>
      <c r="N4" s="22">
        <v>96</v>
      </c>
    </row>
    <row r="5" spans="2:28" x14ac:dyDescent="0.3">
      <c r="B5" s="1" t="s">
        <v>18</v>
      </c>
      <c r="C5" s="22">
        <v>4646</v>
      </c>
      <c r="D5" s="22">
        <v>6429</v>
      </c>
      <c r="E5" s="22">
        <v>7508</v>
      </c>
      <c r="F5" s="22">
        <v>8314</v>
      </c>
      <c r="G5" s="22">
        <v>9375</v>
      </c>
      <c r="H5" s="22">
        <v>10034</v>
      </c>
      <c r="I5" s="22">
        <v>12710</v>
      </c>
      <c r="J5" s="22">
        <v>13716</v>
      </c>
      <c r="K5" s="22">
        <v>15896</v>
      </c>
      <c r="L5" s="22">
        <v>18632</v>
      </c>
      <c r="M5" s="22">
        <v>19304</v>
      </c>
      <c r="N5" s="22">
        <v>21276</v>
      </c>
    </row>
    <row r="6" spans="2:28" x14ac:dyDescent="0.3">
      <c r="B6" s="1" t="s">
        <v>263</v>
      </c>
      <c r="C6" s="22">
        <v>418</v>
      </c>
      <c r="D6" s="22">
        <v>323</v>
      </c>
      <c r="E6" s="22">
        <v>560</v>
      </c>
      <c r="F6" s="22">
        <v>533</v>
      </c>
      <c r="G6" s="22">
        <v>1320</v>
      </c>
      <c r="H6" s="22">
        <v>1118</v>
      </c>
      <c r="I6" s="22">
        <v>1093</v>
      </c>
      <c r="J6" s="22">
        <v>1587</v>
      </c>
      <c r="K6" s="22">
        <v>1933</v>
      </c>
      <c r="L6" s="22">
        <v>2474</v>
      </c>
      <c r="M6" s="22">
        <v>2290</v>
      </c>
      <c r="N6" s="22">
        <v>3929</v>
      </c>
    </row>
    <row r="7" spans="2:28" x14ac:dyDescent="0.3">
      <c r="B7" s="91" t="s">
        <v>200</v>
      </c>
      <c r="C7" s="22">
        <v>78</v>
      </c>
      <c r="D7" s="22">
        <v>73</v>
      </c>
      <c r="E7" s="22">
        <v>41</v>
      </c>
      <c r="F7" s="22">
        <v>28</v>
      </c>
      <c r="G7" s="22">
        <v>19</v>
      </c>
      <c r="H7" s="22">
        <v>19</v>
      </c>
      <c r="I7" s="22">
        <v>15</v>
      </c>
      <c r="J7" s="22">
        <v>45</v>
      </c>
      <c r="K7" s="22">
        <v>76</v>
      </c>
      <c r="L7" s="22">
        <v>54</v>
      </c>
      <c r="M7" s="22">
        <v>260</v>
      </c>
      <c r="N7" s="22">
        <v>1247</v>
      </c>
      <c r="S7">
        <v>17</v>
      </c>
      <c r="T7">
        <f>S7+1</f>
        <v>18</v>
      </c>
      <c r="U7">
        <f t="shared" ref="U7:AB7" si="0">T7+1</f>
        <v>19</v>
      </c>
      <c r="V7">
        <f t="shared" si="0"/>
        <v>20</v>
      </c>
      <c r="W7">
        <f t="shared" si="0"/>
        <v>21</v>
      </c>
      <c r="X7">
        <f t="shared" si="0"/>
        <v>22</v>
      </c>
      <c r="Y7">
        <f t="shared" si="0"/>
        <v>23</v>
      </c>
      <c r="Z7">
        <f t="shared" si="0"/>
        <v>24</v>
      </c>
      <c r="AA7">
        <f t="shared" si="0"/>
        <v>25</v>
      </c>
      <c r="AB7">
        <f t="shared" si="0"/>
        <v>26</v>
      </c>
    </row>
    <row r="8" spans="2:28" x14ac:dyDescent="0.3">
      <c r="B8" s="91" t="s">
        <v>201</v>
      </c>
      <c r="C8" s="22">
        <v>332</v>
      </c>
      <c r="D8" s="22">
        <v>231</v>
      </c>
      <c r="E8" s="22">
        <v>504</v>
      </c>
      <c r="F8" s="22">
        <v>492</v>
      </c>
      <c r="G8" s="22">
        <v>597</v>
      </c>
      <c r="H8" s="22">
        <v>321</v>
      </c>
      <c r="I8" s="22">
        <v>334</v>
      </c>
      <c r="J8" s="22">
        <v>731</v>
      </c>
      <c r="K8" s="22">
        <v>896</v>
      </c>
      <c r="L8" s="22">
        <v>1053</v>
      </c>
      <c r="M8" s="22">
        <v>604</v>
      </c>
      <c r="N8" s="22">
        <v>1046</v>
      </c>
    </row>
    <row r="9" spans="2:28" x14ac:dyDescent="0.3">
      <c r="B9" s="91" t="s">
        <v>202</v>
      </c>
      <c r="C9" s="22">
        <v>0</v>
      </c>
      <c r="D9" s="22">
        <v>0</v>
      </c>
      <c r="E9" s="22">
        <v>0</v>
      </c>
      <c r="F9" s="22">
        <v>0</v>
      </c>
      <c r="G9" s="22">
        <v>693</v>
      </c>
      <c r="H9" s="22">
        <v>764</v>
      </c>
      <c r="I9" s="22">
        <v>745</v>
      </c>
      <c r="J9" s="22">
        <v>811</v>
      </c>
      <c r="K9" s="22">
        <v>960</v>
      </c>
      <c r="L9" s="22">
        <v>1367</v>
      </c>
      <c r="M9" s="22">
        <v>1427</v>
      </c>
      <c r="N9" s="22">
        <v>1636</v>
      </c>
      <c r="S9">
        <v>504</v>
      </c>
      <c r="T9">
        <v>492</v>
      </c>
      <c r="U9">
        <v>597</v>
      </c>
      <c r="V9">
        <v>321</v>
      </c>
      <c r="W9">
        <v>334</v>
      </c>
      <c r="X9">
        <v>731</v>
      </c>
      <c r="Y9">
        <v>896</v>
      </c>
      <c r="Z9">
        <v>1053</v>
      </c>
      <c r="AA9">
        <v>604</v>
      </c>
      <c r="AB9">
        <v>1046</v>
      </c>
    </row>
    <row r="10" spans="2:28" x14ac:dyDescent="0.3">
      <c r="B10" s="91" t="s">
        <v>203</v>
      </c>
      <c r="C10" s="22">
        <v>8</v>
      </c>
      <c r="D10" s="22">
        <v>20</v>
      </c>
      <c r="E10" s="22">
        <v>15</v>
      </c>
      <c r="F10" s="22">
        <v>13</v>
      </c>
      <c r="G10" s="22">
        <v>11</v>
      </c>
      <c r="H10" s="22">
        <v>15</v>
      </c>
      <c r="I10" s="22">
        <v>0</v>
      </c>
      <c r="J10" s="22">
        <v>0</v>
      </c>
      <c r="K10" s="22">
        <v>0</v>
      </c>
      <c r="L10" s="22">
        <v>0</v>
      </c>
      <c r="M10" s="22">
        <v>0</v>
      </c>
      <c r="N10" s="22">
        <v>0</v>
      </c>
      <c r="T10" s="25">
        <f>T9/S9-1</f>
        <v>-2.3809523809523836E-2</v>
      </c>
      <c r="U10" s="25">
        <f t="shared" ref="U10:AB10" si="1">U9/T9-1</f>
        <v>0.21341463414634143</v>
      </c>
      <c r="V10" s="25">
        <f t="shared" si="1"/>
        <v>-0.46231155778894473</v>
      </c>
      <c r="W10" s="25">
        <f t="shared" si="1"/>
        <v>4.049844236760114E-2</v>
      </c>
      <c r="X10" s="25">
        <f t="shared" si="1"/>
        <v>1.1886227544910182</v>
      </c>
      <c r="Y10" s="25">
        <f t="shared" si="1"/>
        <v>0.22571819425444595</v>
      </c>
      <c r="Z10" s="25">
        <f t="shared" si="1"/>
        <v>0.17522321428571419</v>
      </c>
      <c r="AA10" s="25">
        <f t="shared" si="1"/>
        <v>-0.42640075973409308</v>
      </c>
      <c r="AB10" s="25">
        <f t="shared" si="1"/>
        <v>0.73178807947019875</v>
      </c>
    </row>
    <row r="11" spans="2:28" x14ac:dyDescent="0.3">
      <c r="B11" s="1" t="s">
        <v>264</v>
      </c>
      <c r="C11" s="22">
        <v>3754</v>
      </c>
      <c r="D11" s="22">
        <v>3711</v>
      </c>
      <c r="E11" s="22">
        <v>4241</v>
      </c>
      <c r="F11" s="22">
        <v>4820</v>
      </c>
      <c r="G11" s="22">
        <v>5459</v>
      </c>
      <c r="H11" s="22">
        <v>4889</v>
      </c>
      <c r="I11" s="22">
        <v>6456</v>
      </c>
      <c r="J11" s="22">
        <v>7560</v>
      </c>
      <c r="K11" s="22">
        <v>7854</v>
      </c>
      <c r="L11" s="22">
        <v>8698</v>
      </c>
      <c r="M11" s="22">
        <v>8665</v>
      </c>
      <c r="N11" s="22">
        <v>9218</v>
      </c>
    </row>
    <row r="12" spans="2:28" x14ac:dyDescent="0.3">
      <c r="B12" s="91" t="s">
        <v>204</v>
      </c>
      <c r="C12" s="22">
        <v>264</v>
      </c>
      <c r="D12" s="22">
        <v>384</v>
      </c>
      <c r="E12" s="22">
        <v>375</v>
      </c>
      <c r="F12" s="22">
        <v>328</v>
      </c>
      <c r="G12" s="22">
        <v>361</v>
      </c>
      <c r="H12" s="22">
        <v>404</v>
      </c>
      <c r="I12" s="22">
        <v>423</v>
      </c>
      <c r="J12" s="22">
        <v>388</v>
      </c>
      <c r="K12" s="22">
        <v>454</v>
      </c>
      <c r="L12" s="22">
        <v>695</v>
      </c>
      <c r="M12" s="22">
        <v>659</v>
      </c>
      <c r="N12" s="22">
        <v>643</v>
      </c>
      <c r="S12">
        <v>41</v>
      </c>
      <c r="T12">
        <v>28</v>
      </c>
      <c r="U12">
        <v>19</v>
      </c>
      <c r="V12">
        <v>19</v>
      </c>
      <c r="W12">
        <v>15</v>
      </c>
      <c r="X12">
        <v>45</v>
      </c>
      <c r="Y12">
        <v>76</v>
      </c>
      <c r="Z12">
        <v>54</v>
      </c>
      <c r="AA12">
        <v>260</v>
      </c>
      <c r="AB12">
        <v>1247</v>
      </c>
    </row>
    <row r="13" spans="2:28" x14ac:dyDescent="0.3">
      <c r="B13" s="91" t="s">
        <v>205</v>
      </c>
      <c r="C13" s="22">
        <v>1549</v>
      </c>
      <c r="D13" s="22">
        <v>1565</v>
      </c>
      <c r="E13" s="22">
        <v>1923</v>
      </c>
      <c r="F13" s="22">
        <v>2160</v>
      </c>
      <c r="G13" s="22">
        <v>2394</v>
      </c>
      <c r="H13" s="22">
        <v>2137</v>
      </c>
      <c r="I13" s="22">
        <v>3379</v>
      </c>
      <c r="J13" s="22">
        <v>4164</v>
      </c>
      <c r="K13" s="22">
        <v>3635</v>
      </c>
      <c r="L13" s="22">
        <v>3831</v>
      </c>
      <c r="M13" s="22">
        <v>3848</v>
      </c>
      <c r="N13" s="22">
        <v>3863</v>
      </c>
      <c r="T13" s="25">
        <f>T12/S12-1</f>
        <v>-0.31707317073170727</v>
      </c>
      <c r="U13" s="25">
        <f t="shared" ref="U13:AB13" si="2">U12/T12-1</f>
        <v>-0.3214285714285714</v>
      </c>
      <c r="V13" s="25">
        <f t="shared" si="2"/>
        <v>0</v>
      </c>
      <c r="W13" s="25">
        <f t="shared" si="2"/>
        <v>-0.21052631578947367</v>
      </c>
      <c r="X13" s="25">
        <f t="shared" si="2"/>
        <v>2</v>
      </c>
      <c r="Y13" s="25">
        <f t="shared" si="2"/>
        <v>0.68888888888888888</v>
      </c>
      <c r="Z13" s="25">
        <f t="shared" si="2"/>
        <v>-0.28947368421052633</v>
      </c>
      <c r="AA13" s="25">
        <f t="shared" si="2"/>
        <v>3.8148148148148149</v>
      </c>
      <c r="AB13" s="25">
        <f t="shared" si="2"/>
        <v>3.796153846153846</v>
      </c>
    </row>
    <row r="14" spans="2:28" x14ac:dyDescent="0.3">
      <c r="B14" s="91" t="s">
        <v>206</v>
      </c>
      <c r="C14" s="22">
        <v>5</v>
      </c>
      <c r="D14" s="22">
        <v>12</v>
      </c>
      <c r="E14" s="22">
        <v>17</v>
      </c>
      <c r="F14" s="22">
        <v>16</v>
      </c>
      <c r="G14" s="22">
        <v>13</v>
      </c>
      <c r="H14" s="22">
        <v>29</v>
      </c>
      <c r="I14" s="22">
        <v>41</v>
      </c>
      <c r="J14" s="22">
        <v>76</v>
      </c>
      <c r="K14" s="22">
        <v>108</v>
      </c>
      <c r="L14" s="22">
        <v>154</v>
      </c>
      <c r="M14" s="22">
        <v>174</v>
      </c>
      <c r="N14" s="22">
        <v>107</v>
      </c>
    </row>
    <row r="15" spans="2:28" x14ac:dyDescent="0.3">
      <c r="B15" s="91" t="s">
        <v>207</v>
      </c>
      <c r="C15" s="22">
        <v>1937</v>
      </c>
      <c r="D15" s="22">
        <v>1750</v>
      </c>
      <c r="E15" s="22">
        <v>1925</v>
      </c>
      <c r="F15" s="22">
        <v>2316</v>
      </c>
      <c r="G15" s="22">
        <v>2690</v>
      </c>
      <c r="H15" s="22">
        <v>2320</v>
      </c>
      <c r="I15" s="22">
        <v>2613</v>
      </c>
      <c r="J15" s="22">
        <v>2932</v>
      </c>
      <c r="K15" s="22">
        <v>3657</v>
      </c>
      <c r="L15" s="22">
        <v>4017</v>
      </c>
      <c r="M15" s="22">
        <v>3984</v>
      </c>
      <c r="N15" s="22">
        <v>4604</v>
      </c>
      <c r="S15">
        <f>SUM(S9,S12)</f>
        <v>545</v>
      </c>
      <c r="T15">
        <f t="shared" ref="T15:AB15" si="3">SUM(T9,T12)</f>
        <v>520</v>
      </c>
      <c r="U15">
        <f t="shared" si="3"/>
        <v>616</v>
      </c>
      <c r="V15">
        <f t="shared" si="3"/>
        <v>340</v>
      </c>
      <c r="W15">
        <f t="shared" si="3"/>
        <v>349</v>
      </c>
      <c r="X15">
        <f t="shared" si="3"/>
        <v>776</v>
      </c>
      <c r="Y15">
        <f t="shared" si="3"/>
        <v>972</v>
      </c>
      <c r="Z15">
        <f t="shared" si="3"/>
        <v>1107</v>
      </c>
      <c r="AA15">
        <f t="shared" si="3"/>
        <v>864</v>
      </c>
      <c r="AB15">
        <f t="shared" si="3"/>
        <v>2293</v>
      </c>
    </row>
    <row r="16" spans="2:28" x14ac:dyDescent="0.3">
      <c r="B16" s="92" t="s">
        <v>76</v>
      </c>
      <c r="C16" s="93">
        <v>8914</v>
      </c>
      <c r="D16" s="93">
        <v>10559</v>
      </c>
      <c r="E16" s="93">
        <v>12405</v>
      </c>
      <c r="F16" s="93">
        <v>13763</v>
      </c>
      <c r="G16" s="93">
        <v>16249</v>
      </c>
      <c r="H16" s="93">
        <v>16138</v>
      </c>
      <c r="I16" s="93">
        <v>20355</v>
      </c>
      <c r="J16" s="93">
        <v>22958</v>
      </c>
      <c r="K16" s="93">
        <v>25779</v>
      </c>
      <c r="L16" s="93">
        <v>29901</v>
      </c>
      <c r="M16" s="93">
        <v>30355</v>
      </c>
      <c r="N16" s="93">
        <v>34519</v>
      </c>
      <c r="T16" s="219">
        <f>T15/S15-1</f>
        <v>-4.587155963302747E-2</v>
      </c>
      <c r="U16" s="219">
        <f t="shared" ref="U16:AB16" si="4">U15/T15-1</f>
        <v>0.18461538461538463</v>
      </c>
      <c r="V16" s="219">
        <f t="shared" si="4"/>
        <v>-0.44805194805194803</v>
      </c>
      <c r="W16" s="219">
        <f t="shared" si="4"/>
        <v>2.6470588235294024E-2</v>
      </c>
      <c r="X16" s="219">
        <f t="shared" si="4"/>
        <v>1.2234957020057307</v>
      </c>
      <c r="Y16" s="219">
        <f t="shared" si="4"/>
        <v>0.25257731958762886</v>
      </c>
      <c r="Z16" s="219">
        <f t="shared" si="4"/>
        <v>0.13888888888888884</v>
      </c>
      <c r="AA16" s="219">
        <f t="shared" si="4"/>
        <v>-0.21951219512195119</v>
      </c>
      <c r="AB16" s="219">
        <f t="shared" si="4"/>
        <v>1.6539351851851851</v>
      </c>
    </row>
    <row r="17" spans="2:16" x14ac:dyDescent="0.3">
      <c r="B17" s="1" t="s">
        <v>265</v>
      </c>
      <c r="C17" s="22">
        <v>2660</v>
      </c>
      <c r="D17" s="22">
        <v>3416</v>
      </c>
      <c r="E17" s="22">
        <v>3304</v>
      </c>
      <c r="F17" s="22">
        <v>3732</v>
      </c>
      <c r="G17" s="22">
        <v>6497</v>
      </c>
      <c r="H17" s="22">
        <v>6272</v>
      </c>
      <c r="I17" s="22">
        <v>5859</v>
      </c>
      <c r="J17" s="22">
        <v>5519</v>
      </c>
      <c r="K17" s="22">
        <v>5770</v>
      </c>
      <c r="L17" s="22">
        <v>7147</v>
      </c>
      <c r="M17" s="22">
        <v>9220</v>
      </c>
      <c r="N17" s="22">
        <v>9640</v>
      </c>
    </row>
    <row r="18" spans="2:16" x14ac:dyDescent="0.3">
      <c r="B18" s="91" t="s">
        <v>208</v>
      </c>
      <c r="C18" s="22">
        <v>251</v>
      </c>
      <c r="D18" s="22">
        <v>429</v>
      </c>
      <c r="E18" s="22">
        <v>408</v>
      </c>
      <c r="F18" s="22">
        <v>586</v>
      </c>
      <c r="G18" s="22">
        <v>605</v>
      </c>
      <c r="H18" s="22">
        <v>640</v>
      </c>
      <c r="I18" s="22">
        <v>644</v>
      </c>
      <c r="J18" s="22">
        <v>644</v>
      </c>
      <c r="K18" s="22">
        <v>804</v>
      </c>
      <c r="L18" s="22">
        <v>1126</v>
      </c>
      <c r="M18" s="22">
        <v>1035</v>
      </c>
      <c r="N18" s="22">
        <v>1204</v>
      </c>
    </row>
    <row r="19" spans="2:16" x14ac:dyDescent="0.3">
      <c r="B19" s="91" t="s">
        <v>209</v>
      </c>
      <c r="C19" s="22">
        <v>962</v>
      </c>
      <c r="D19" s="22">
        <v>923</v>
      </c>
      <c r="E19" s="22">
        <v>931</v>
      </c>
      <c r="F19" s="22">
        <v>957</v>
      </c>
      <c r="G19" s="22">
        <v>2402</v>
      </c>
      <c r="H19" s="22">
        <v>2257</v>
      </c>
      <c r="I19" s="22">
        <v>2249</v>
      </c>
      <c r="J19" s="22">
        <v>2325</v>
      </c>
      <c r="K19" s="22">
        <v>2883</v>
      </c>
      <c r="L19" s="22">
        <v>3390</v>
      </c>
      <c r="M19" s="22">
        <v>3771</v>
      </c>
      <c r="N19" s="22">
        <v>4124</v>
      </c>
    </row>
    <row r="20" spans="2:16" x14ac:dyDescent="0.3">
      <c r="B20" s="91" t="s">
        <v>210</v>
      </c>
      <c r="C20" s="22">
        <v>2132</v>
      </c>
      <c r="D20" s="22">
        <v>1793</v>
      </c>
      <c r="E20" s="22">
        <v>1980</v>
      </c>
      <c r="F20" s="22">
        <v>2157</v>
      </c>
      <c r="G20" s="22">
        <v>4006</v>
      </c>
      <c r="H20" s="22">
        <v>4208</v>
      </c>
      <c r="I20" s="22">
        <v>4340</v>
      </c>
      <c r="J20" s="22">
        <v>4531</v>
      </c>
      <c r="K20" s="22">
        <v>4825</v>
      </c>
      <c r="L20" s="22">
        <v>5422</v>
      </c>
      <c r="M20" s="22">
        <v>7576</v>
      </c>
      <c r="N20" s="22">
        <v>8210</v>
      </c>
    </row>
    <row r="21" spans="2:16" x14ac:dyDescent="0.3">
      <c r="B21" s="91" t="s">
        <v>211</v>
      </c>
      <c r="C21" s="22">
        <v>171</v>
      </c>
      <c r="D21" s="22">
        <v>97</v>
      </c>
      <c r="E21" s="22">
        <v>119</v>
      </c>
      <c r="F21" s="22">
        <v>200</v>
      </c>
      <c r="G21" s="22">
        <v>221</v>
      </c>
      <c r="H21" s="22">
        <v>241</v>
      </c>
      <c r="I21" s="22">
        <v>243</v>
      </c>
      <c r="J21" s="22">
        <v>253</v>
      </c>
      <c r="K21" s="22">
        <v>270</v>
      </c>
      <c r="L21" s="22">
        <v>298</v>
      </c>
      <c r="M21" s="22">
        <v>325</v>
      </c>
      <c r="N21" s="22">
        <v>351</v>
      </c>
    </row>
    <row r="22" spans="2:16" x14ac:dyDescent="0.3">
      <c r="B22" s="91" t="s">
        <v>212</v>
      </c>
      <c r="C22" s="22">
        <v>83</v>
      </c>
      <c r="D22" s="22">
        <v>49</v>
      </c>
      <c r="E22" s="22">
        <v>59</v>
      </c>
      <c r="F22" s="22">
        <v>72</v>
      </c>
      <c r="G22" s="22">
        <v>88</v>
      </c>
      <c r="H22" s="22">
        <v>94</v>
      </c>
      <c r="I22" s="22">
        <v>99</v>
      </c>
      <c r="J22" s="22">
        <v>113</v>
      </c>
      <c r="K22" s="22">
        <v>146</v>
      </c>
      <c r="L22" s="22">
        <v>175</v>
      </c>
      <c r="M22" s="22">
        <v>203</v>
      </c>
      <c r="N22" s="22">
        <v>216</v>
      </c>
    </row>
    <row r="23" spans="2:16" x14ac:dyDescent="0.3">
      <c r="B23" s="91" t="s">
        <v>213</v>
      </c>
      <c r="C23" s="22">
        <v>18</v>
      </c>
      <c r="D23" s="22">
        <v>11</v>
      </c>
      <c r="E23" s="22">
        <v>14</v>
      </c>
      <c r="F23" s="22">
        <v>27</v>
      </c>
      <c r="G23" s="22">
        <v>47</v>
      </c>
      <c r="H23" s="22">
        <v>43</v>
      </c>
      <c r="I23" s="22">
        <v>38</v>
      </c>
      <c r="J23" s="22">
        <v>32</v>
      </c>
      <c r="K23" s="22">
        <v>36</v>
      </c>
      <c r="L23" s="22">
        <v>40</v>
      </c>
      <c r="M23" s="22">
        <v>34</v>
      </c>
      <c r="N23" s="22">
        <v>45</v>
      </c>
    </row>
    <row r="24" spans="2:16" x14ac:dyDescent="0.3">
      <c r="B24" s="91" t="s">
        <v>214</v>
      </c>
      <c r="C24" s="22">
        <v>351</v>
      </c>
      <c r="D24" s="22">
        <v>339</v>
      </c>
      <c r="E24" s="22">
        <v>276</v>
      </c>
      <c r="F24" s="22">
        <v>468</v>
      </c>
      <c r="G24" s="22">
        <v>512</v>
      </c>
      <c r="H24" s="22">
        <v>505</v>
      </c>
      <c r="I24" s="22">
        <v>476</v>
      </c>
      <c r="J24" s="22">
        <v>345</v>
      </c>
      <c r="K24" s="22">
        <v>422</v>
      </c>
      <c r="L24" s="22">
        <v>850</v>
      </c>
      <c r="M24" s="22">
        <v>827</v>
      </c>
      <c r="N24" s="22">
        <v>833</v>
      </c>
    </row>
    <row r="25" spans="2:16" x14ac:dyDescent="0.3">
      <c r="B25" s="91" t="s">
        <v>215</v>
      </c>
      <c r="C25" s="22">
        <v>145</v>
      </c>
      <c r="D25" s="22">
        <v>103</v>
      </c>
      <c r="E25" s="22">
        <v>128</v>
      </c>
      <c r="F25" s="22">
        <v>238</v>
      </c>
      <c r="G25" s="22">
        <v>261</v>
      </c>
      <c r="H25" s="22">
        <v>293</v>
      </c>
      <c r="I25" s="22">
        <v>302</v>
      </c>
      <c r="J25" s="22">
        <v>294</v>
      </c>
      <c r="K25" s="22">
        <v>289</v>
      </c>
      <c r="L25" s="22">
        <v>321</v>
      </c>
      <c r="M25" s="22">
        <v>328</v>
      </c>
      <c r="N25" s="22">
        <v>335</v>
      </c>
    </row>
    <row r="26" spans="2:16" x14ac:dyDescent="0.3">
      <c r="B26" s="91" t="s">
        <v>216</v>
      </c>
      <c r="C26" s="22">
        <v>4112</v>
      </c>
      <c r="D26" s="22">
        <v>3744</v>
      </c>
      <c r="E26" s="22">
        <v>3914</v>
      </c>
      <c r="F26" s="22">
        <v>4705</v>
      </c>
      <c r="G26" s="22">
        <v>8141</v>
      </c>
      <c r="H26" s="22">
        <v>8282</v>
      </c>
      <c r="I26" s="22">
        <v>8392</v>
      </c>
      <c r="J26" s="22">
        <v>8538</v>
      </c>
      <c r="K26" s="22">
        <v>9676</v>
      </c>
      <c r="L26" s="22">
        <v>11622</v>
      </c>
      <c r="M26" s="22">
        <v>14099</v>
      </c>
      <c r="N26" s="22">
        <v>15316</v>
      </c>
    </row>
    <row r="27" spans="2:16" x14ac:dyDescent="0.3">
      <c r="B27" s="91" t="s">
        <v>217</v>
      </c>
      <c r="C27" s="22">
        <v>1452</v>
      </c>
      <c r="D27" s="22">
        <v>327</v>
      </c>
      <c r="E27" s="22">
        <v>610</v>
      </c>
      <c r="F27" s="22">
        <v>973</v>
      </c>
      <c r="G27" s="22">
        <v>1644</v>
      </c>
      <c r="H27" s="22">
        <v>2010</v>
      </c>
      <c r="I27" s="22">
        <v>2533</v>
      </c>
      <c r="J27" s="22">
        <v>3019</v>
      </c>
      <c r="K27" s="22">
        <v>3905</v>
      </c>
      <c r="L27" s="22">
        <v>4475</v>
      </c>
      <c r="M27" s="22">
        <v>4879</v>
      </c>
      <c r="N27" s="22">
        <v>5676</v>
      </c>
    </row>
    <row r="28" spans="2:16" x14ac:dyDescent="0.3">
      <c r="B28" s="91" t="s">
        <v>218</v>
      </c>
      <c r="C28" s="22">
        <v>196</v>
      </c>
      <c r="D28" s="22">
        <v>107</v>
      </c>
      <c r="E28" s="22">
        <v>258</v>
      </c>
      <c r="F28" s="22">
        <v>1405</v>
      </c>
      <c r="G28" s="22">
        <v>210</v>
      </c>
      <c r="H28" s="22">
        <v>140</v>
      </c>
      <c r="I28" s="22">
        <v>183</v>
      </c>
      <c r="J28" s="22">
        <v>426</v>
      </c>
      <c r="K28" s="22">
        <v>1020</v>
      </c>
      <c r="L28" s="22">
        <v>2698</v>
      </c>
      <c r="M28" s="22">
        <v>1254</v>
      </c>
      <c r="N28" s="22">
        <v>1849</v>
      </c>
    </row>
    <row r="29" spans="2:16" x14ac:dyDescent="0.3">
      <c r="B29" s="91" t="s">
        <v>23</v>
      </c>
      <c r="C29" s="22">
        <v>1588</v>
      </c>
      <c r="D29" s="22">
        <v>2712</v>
      </c>
      <c r="E29" s="22">
        <v>2652</v>
      </c>
      <c r="F29" s="22">
        <v>2141</v>
      </c>
      <c r="G29" s="22">
        <v>2569</v>
      </c>
      <c r="H29" s="22">
        <v>2019</v>
      </c>
      <c r="I29" s="22">
        <v>4737</v>
      </c>
      <c r="J29" s="22">
        <v>3248</v>
      </c>
      <c r="K29" s="22">
        <v>4262</v>
      </c>
      <c r="L29" s="22">
        <v>4588</v>
      </c>
      <c r="M29" s="22">
        <v>4725</v>
      </c>
      <c r="N29" s="22">
        <v>7062</v>
      </c>
    </row>
    <row r="30" spans="2:16" x14ac:dyDescent="0.3">
      <c r="B30" s="82" t="s">
        <v>267</v>
      </c>
      <c r="C30" s="22">
        <v>4471</v>
      </c>
      <c r="D30" s="22">
        <v>4324</v>
      </c>
      <c r="E30" s="22">
        <v>6192</v>
      </c>
      <c r="F30" s="22">
        <v>6485</v>
      </c>
      <c r="G30" s="22">
        <v>6974</v>
      </c>
      <c r="H30" s="22">
        <v>7707</v>
      </c>
      <c r="I30" s="22">
        <v>9577</v>
      </c>
      <c r="J30" s="22">
        <v>13765</v>
      </c>
      <c r="K30" s="22">
        <v>14728</v>
      </c>
      <c r="L30" s="22">
        <v>15468</v>
      </c>
      <c r="M30" s="22">
        <v>15156</v>
      </c>
      <c r="N30" s="22">
        <v>15968</v>
      </c>
    </row>
    <row r="31" spans="2:16" x14ac:dyDescent="0.3">
      <c r="B31" s="91" t="s">
        <v>219</v>
      </c>
      <c r="C31" s="22">
        <v>2259</v>
      </c>
      <c r="D31" s="22">
        <v>1998</v>
      </c>
      <c r="E31" s="22">
        <v>2627</v>
      </c>
      <c r="F31" s="22">
        <v>2658</v>
      </c>
      <c r="G31" s="22">
        <v>3150</v>
      </c>
      <c r="H31" s="22">
        <v>3390</v>
      </c>
      <c r="I31" s="22">
        <v>3799</v>
      </c>
      <c r="J31" s="22">
        <v>6153</v>
      </c>
      <c r="K31" s="22">
        <v>6211</v>
      </c>
      <c r="L31" s="22">
        <v>5923</v>
      </c>
      <c r="M31" s="22">
        <v>6719</v>
      </c>
      <c r="N31" s="22">
        <v>5744</v>
      </c>
    </row>
    <row r="32" spans="2:16" x14ac:dyDescent="0.3">
      <c r="B32" s="91" t="s">
        <v>266</v>
      </c>
      <c r="C32" s="22">
        <v>1182</v>
      </c>
      <c r="D32" s="22">
        <v>1187</v>
      </c>
      <c r="E32" s="22">
        <v>1447</v>
      </c>
      <c r="F32" s="22">
        <v>1731</v>
      </c>
      <c r="G32" s="22">
        <v>1907</v>
      </c>
      <c r="H32" s="22">
        <v>1795</v>
      </c>
      <c r="I32" s="22">
        <v>2602</v>
      </c>
      <c r="J32" s="22">
        <v>3871</v>
      </c>
      <c r="K32" s="22">
        <v>4637</v>
      </c>
      <c r="L32" s="22">
        <v>4889</v>
      </c>
      <c r="M32" s="22">
        <v>4314</v>
      </c>
      <c r="N32" s="22">
        <v>4462</v>
      </c>
      <c r="P32" s="158">
        <f>SUM(N31:N32)+N35</f>
        <v>14868</v>
      </c>
    </row>
    <row r="33" spans="2:16" x14ac:dyDescent="0.3">
      <c r="B33" s="91" t="s">
        <v>220</v>
      </c>
      <c r="C33" s="22">
        <v>204</v>
      </c>
      <c r="D33" s="22">
        <v>424</v>
      </c>
      <c r="E33" s="22">
        <v>801</v>
      </c>
      <c r="F33" s="22">
        <v>405</v>
      </c>
      <c r="G33" s="22">
        <v>445</v>
      </c>
      <c r="H33" s="22">
        <v>783</v>
      </c>
      <c r="I33" s="22">
        <v>611</v>
      </c>
      <c r="J33" s="22">
        <v>864</v>
      </c>
      <c r="K33" s="22">
        <v>844</v>
      </c>
      <c r="L33" s="22">
        <v>1084</v>
      </c>
      <c r="M33" s="22">
        <v>782</v>
      </c>
      <c r="N33" s="22">
        <v>1074</v>
      </c>
      <c r="P33" s="22">
        <f>SUM(N13,N15)</f>
        <v>8467</v>
      </c>
    </row>
    <row r="34" spans="2:16" x14ac:dyDescent="0.3">
      <c r="B34" s="91" t="s">
        <v>221</v>
      </c>
      <c r="C34" s="22">
        <v>8</v>
      </c>
      <c r="D34" s="22">
        <v>9</v>
      </c>
      <c r="E34" s="22">
        <v>14</v>
      </c>
      <c r="F34" s="22">
        <v>13</v>
      </c>
      <c r="G34" s="22">
        <v>16</v>
      </c>
      <c r="H34" s="22">
        <v>12</v>
      </c>
      <c r="I34" s="22">
        <v>11</v>
      </c>
      <c r="J34" s="22">
        <v>8</v>
      </c>
      <c r="K34" s="22">
        <v>12</v>
      </c>
      <c r="L34" s="22">
        <v>17</v>
      </c>
      <c r="M34" s="22">
        <v>22</v>
      </c>
      <c r="N34" s="22">
        <v>27</v>
      </c>
      <c r="P34" s="158">
        <f>P32-P33</f>
        <v>6401</v>
      </c>
    </row>
    <row r="35" spans="2:16" x14ac:dyDescent="0.3">
      <c r="B35" s="91" t="s">
        <v>222</v>
      </c>
      <c r="C35" s="22">
        <v>817</v>
      </c>
      <c r="D35" s="22">
        <v>705</v>
      </c>
      <c r="E35" s="22">
        <v>1303</v>
      </c>
      <c r="F35" s="22">
        <v>1678</v>
      </c>
      <c r="G35" s="22">
        <v>1456</v>
      </c>
      <c r="H35" s="22">
        <v>1727</v>
      </c>
      <c r="I35" s="22">
        <v>2555</v>
      </c>
      <c r="J35" s="22">
        <v>2869</v>
      </c>
      <c r="K35" s="22">
        <v>3024</v>
      </c>
      <c r="L35" s="22">
        <v>3555</v>
      </c>
      <c r="M35" s="22">
        <v>3319</v>
      </c>
      <c r="N35" s="22">
        <v>4662</v>
      </c>
    </row>
    <row r="36" spans="2:16" x14ac:dyDescent="0.3">
      <c r="B36" s="92" t="s">
        <v>80</v>
      </c>
      <c r="C36" s="93">
        <v>8914</v>
      </c>
      <c r="D36" s="93">
        <v>10559</v>
      </c>
      <c r="E36" s="93">
        <v>12405</v>
      </c>
      <c r="F36" s="93">
        <v>13763</v>
      </c>
      <c r="G36" s="93">
        <v>16249</v>
      </c>
      <c r="H36" s="93">
        <v>16138</v>
      </c>
      <c r="I36" s="93">
        <v>20355</v>
      </c>
      <c r="J36" s="93">
        <v>22958</v>
      </c>
      <c r="K36" s="93">
        <v>25779</v>
      </c>
      <c r="L36" s="93">
        <v>29901</v>
      </c>
      <c r="M36" s="93">
        <v>30355</v>
      </c>
      <c r="N36" s="93">
        <v>34519</v>
      </c>
    </row>
    <row r="39" spans="2:16" x14ac:dyDescent="0.3">
      <c r="N39" s="1"/>
    </row>
    <row r="40" spans="2:16" x14ac:dyDescent="0.3">
      <c r="N40" s="1"/>
    </row>
    <row r="41" spans="2:16" x14ac:dyDescent="0.3">
      <c r="N41" s="1"/>
    </row>
    <row r="42" spans="2:16" x14ac:dyDescent="0.3">
      <c r="B42" s="279" t="str">
        <f>"Cash Flow Raw"&amp;" - "&amp;Datasheet!$B$1</f>
        <v>Cash Flow Raw - ASIAN PAINTS LTD</v>
      </c>
      <c r="C42" s="279"/>
      <c r="D42" s="279"/>
      <c r="E42" s="279"/>
      <c r="F42" s="279"/>
      <c r="G42" s="279"/>
      <c r="H42" s="279"/>
      <c r="I42" s="279"/>
      <c r="J42" s="279"/>
      <c r="K42" s="279"/>
      <c r="L42" s="279"/>
      <c r="M42" s="279"/>
      <c r="N42" s="279"/>
    </row>
    <row r="43" spans="2:16" x14ac:dyDescent="0.3">
      <c r="B43" s="9" t="s">
        <v>9</v>
      </c>
      <c r="C43" s="10">
        <v>42064</v>
      </c>
      <c r="D43" s="10">
        <v>42430</v>
      </c>
      <c r="E43" s="10">
        <v>42795</v>
      </c>
      <c r="F43" s="10">
        <v>43160</v>
      </c>
      <c r="G43" s="10">
        <v>43525</v>
      </c>
      <c r="H43" s="10">
        <v>43891</v>
      </c>
      <c r="I43" s="10">
        <v>44256</v>
      </c>
      <c r="J43" s="10">
        <v>44621</v>
      </c>
      <c r="K43" s="10">
        <v>44986</v>
      </c>
      <c r="L43" s="10">
        <v>45352</v>
      </c>
      <c r="M43" s="10">
        <v>45717</v>
      </c>
      <c r="N43" s="10">
        <v>46082</v>
      </c>
    </row>
    <row r="44" spans="2:16" x14ac:dyDescent="0.3">
      <c r="B44" s="1" t="s">
        <v>268</v>
      </c>
      <c r="C44">
        <v>1188</v>
      </c>
      <c r="D44">
        <v>2243</v>
      </c>
      <c r="E44">
        <v>1527</v>
      </c>
      <c r="F44">
        <v>2113</v>
      </c>
      <c r="G44">
        <v>2470</v>
      </c>
      <c r="H44">
        <v>3038</v>
      </c>
      <c r="I44">
        <v>3683</v>
      </c>
      <c r="J44">
        <v>986</v>
      </c>
      <c r="K44">
        <v>4193</v>
      </c>
      <c r="L44">
        <v>6104</v>
      </c>
      <c r="M44">
        <v>4424</v>
      </c>
      <c r="N44">
        <v>7088</v>
      </c>
    </row>
    <row r="45" spans="2:16" x14ac:dyDescent="0.3">
      <c r="B45" s="91" t="s">
        <v>82</v>
      </c>
      <c r="C45">
        <v>2271</v>
      </c>
      <c r="D45">
        <v>2848</v>
      </c>
      <c r="E45">
        <v>3056</v>
      </c>
      <c r="F45">
        <v>3274</v>
      </c>
      <c r="G45">
        <v>3861</v>
      </c>
      <c r="H45">
        <v>4380</v>
      </c>
      <c r="I45">
        <v>4970</v>
      </c>
      <c r="J45">
        <v>4957</v>
      </c>
      <c r="K45">
        <v>6460</v>
      </c>
      <c r="L45">
        <v>7929</v>
      </c>
      <c r="M45">
        <v>6390</v>
      </c>
      <c r="N45">
        <v>7186</v>
      </c>
    </row>
    <row r="46" spans="2:16" x14ac:dyDescent="0.3">
      <c r="B46" s="91" t="s">
        <v>68</v>
      </c>
      <c r="C46">
        <v>-155</v>
      </c>
      <c r="D46">
        <v>-146</v>
      </c>
      <c r="E46">
        <v>-475</v>
      </c>
      <c r="F46">
        <v>-483</v>
      </c>
      <c r="G46">
        <v>-205</v>
      </c>
      <c r="H46">
        <v>160</v>
      </c>
      <c r="I46">
        <v>-849</v>
      </c>
      <c r="J46">
        <v>-1326</v>
      </c>
      <c r="K46">
        <v>-834</v>
      </c>
      <c r="L46">
        <v>-362</v>
      </c>
      <c r="M46">
        <v>282</v>
      </c>
      <c r="N46">
        <v>-274</v>
      </c>
    </row>
    <row r="47" spans="2:16" x14ac:dyDescent="0.3">
      <c r="B47" s="91" t="s">
        <v>25</v>
      </c>
      <c r="C47">
        <v>-144</v>
      </c>
      <c r="D47">
        <v>202</v>
      </c>
      <c r="E47">
        <v>-629</v>
      </c>
      <c r="F47">
        <v>-39</v>
      </c>
      <c r="G47">
        <v>-492</v>
      </c>
      <c r="H47">
        <v>-251</v>
      </c>
      <c r="I47">
        <v>-409</v>
      </c>
      <c r="J47">
        <v>-2354</v>
      </c>
      <c r="K47">
        <v>-56</v>
      </c>
      <c r="L47">
        <v>315</v>
      </c>
      <c r="M47">
        <v>-805</v>
      </c>
      <c r="N47">
        <v>976</v>
      </c>
    </row>
    <row r="48" spans="2:16" x14ac:dyDescent="0.3">
      <c r="B48" s="91" t="s">
        <v>83</v>
      </c>
      <c r="C48">
        <v>-151</v>
      </c>
      <c r="D48">
        <v>142</v>
      </c>
      <c r="E48">
        <v>501</v>
      </c>
      <c r="F48">
        <v>442</v>
      </c>
      <c r="G48">
        <v>287</v>
      </c>
      <c r="H48">
        <v>-241</v>
      </c>
      <c r="I48">
        <v>1143</v>
      </c>
      <c r="J48">
        <v>644</v>
      </c>
      <c r="K48">
        <v>-539</v>
      </c>
      <c r="L48">
        <v>269</v>
      </c>
      <c r="M48">
        <v>-160</v>
      </c>
      <c r="N48">
        <v>396</v>
      </c>
    </row>
    <row r="49" spans="2:28" x14ac:dyDescent="0.3">
      <c r="B49" s="91" t="s">
        <v>84</v>
      </c>
      <c r="C49">
        <v>0</v>
      </c>
      <c r="D49">
        <v>0</v>
      </c>
      <c r="E49">
        <v>0</v>
      </c>
      <c r="F49">
        <v>0</v>
      </c>
      <c r="G49">
        <v>0</v>
      </c>
      <c r="H49">
        <v>0</v>
      </c>
      <c r="I49">
        <v>-92</v>
      </c>
      <c r="J49">
        <v>242</v>
      </c>
      <c r="K49">
        <v>657</v>
      </c>
      <c r="L49">
        <v>-212</v>
      </c>
      <c r="M49">
        <v>114</v>
      </c>
      <c r="N49">
        <v>378</v>
      </c>
    </row>
    <row r="50" spans="2:28" x14ac:dyDescent="0.3">
      <c r="B50" s="91" t="s">
        <v>85</v>
      </c>
      <c r="C50">
        <v>-450</v>
      </c>
      <c r="D50">
        <v>198</v>
      </c>
      <c r="E50">
        <v>-603</v>
      </c>
      <c r="F50">
        <v>-80</v>
      </c>
      <c r="G50">
        <v>-410</v>
      </c>
      <c r="H50">
        <v>-331</v>
      </c>
      <c r="I50">
        <v>-206</v>
      </c>
      <c r="J50">
        <v>-2795</v>
      </c>
      <c r="K50">
        <v>-772</v>
      </c>
      <c r="L50">
        <v>10</v>
      </c>
      <c r="M50">
        <v>-570</v>
      </c>
      <c r="N50">
        <v>1476</v>
      </c>
    </row>
    <row r="51" spans="2:28" x14ac:dyDescent="0.3">
      <c r="B51" s="91" t="s">
        <v>86</v>
      </c>
      <c r="C51">
        <v>-633</v>
      </c>
      <c r="D51">
        <v>-802</v>
      </c>
      <c r="E51">
        <v>-925</v>
      </c>
      <c r="F51">
        <v>-1081</v>
      </c>
      <c r="G51">
        <v>-982</v>
      </c>
      <c r="H51">
        <v>-1011</v>
      </c>
      <c r="I51">
        <v>-1080</v>
      </c>
      <c r="J51">
        <v>-1176</v>
      </c>
      <c r="K51">
        <v>-1494</v>
      </c>
      <c r="L51">
        <v>-1835</v>
      </c>
      <c r="M51">
        <v>-1396</v>
      </c>
      <c r="N51">
        <v>-1574</v>
      </c>
    </row>
    <row r="52" spans="2:28" x14ac:dyDescent="0.3">
      <c r="B52" s="82" t="s">
        <v>269</v>
      </c>
      <c r="C52">
        <v>-465</v>
      </c>
      <c r="D52">
        <v>-866</v>
      </c>
      <c r="E52">
        <v>-681</v>
      </c>
      <c r="F52">
        <v>-1556</v>
      </c>
      <c r="G52">
        <v>-918</v>
      </c>
      <c r="H52">
        <v>-518</v>
      </c>
      <c r="I52">
        <v>-541</v>
      </c>
      <c r="J52">
        <v>-317</v>
      </c>
      <c r="K52">
        <v>-1282</v>
      </c>
      <c r="L52">
        <v>-2548</v>
      </c>
      <c r="M52">
        <v>-941</v>
      </c>
      <c r="N52">
        <v>-1328</v>
      </c>
      <c r="R52">
        <v>15061.99</v>
      </c>
      <c r="S52">
        <v>16824.55</v>
      </c>
      <c r="T52">
        <v>19240.13</v>
      </c>
      <c r="U52">
        <v>20211.25</v>
      </c>
      <c r="V52">
        <v>21712.79</v>
      </c>
      <c r="W52">
        <v>29101.279999999999</v>
      </c>
      <c r="X52">
        <v>34488.589999999997</v>
      </c>
      <c r="Y52">
        <v>35494.730000000003</v>
      </c>
      <c r="Z52">
        <v>33905.620000000003</v>
      </c>
      <c r="AA52">
        <v>35583.54</v>
      </c>
    </row>
    <row r="53" spans="2:28" x14ac:dyDescent="0.3">
      <c r="B53" s="91" t="s">
        <v>87</v>
      </c>
      <c r="C53">
        <v>-454</v>
      </c>
      <c r="D53">
        <v>-817</v>
      </c>
      <c r="E53">
        <v>-684</v>
      </c>
      <c r="F53">
        <v>-1426</v>
      </c>
      <c r="G53">
        <v>-1151</v>
      </c>
      <c r="H53">
        <v>-414</v>
      </c>
      <c r="I53">
        <v>-289</v>
      </c>
      <c r="J53">
        <v>-551</v>
      </c>
      <c r="K53">
        <v>-1446</v>
      </c>
      <c r="L53">
        <v>-2496</v>
      </c>
      <c r="M53">
        <v>-1830</v>
      </c>
      <c r="N53">
        <v>-1487</v>
      </c>
      <c r="P53">
        <f>ABS(C53)</f>
        <v>454</v>
      </c>
      <c r="Q53">
        <f t="shared" ref="Q53:AB53" si="5">ABS(D53)</f>
        <v>817</v>
      </c>
      <c r="R53">
        <f t="shared" si="5"/>
        <v>684</v>
      </c>
      <c r="S53">
        <f t="shared" si="5"/>
        <v>1426</v>
      </c>
      <c r="T53">
        <f t="shared" si="5"/>
        <v>1151</v>
      </c>
      <c r="U53">
        <f t="shared" si="5"/>
        <v>414</v>
      </c>
      <c r="V53">
        <f t="shared" si="5"/>
        <v>289</v>
      </c>
      <c r="W53">
        <f t="shared" si="5"/>
        <v>551</v>
      </c>
      <c r="X53">
        <f t="shared" si="5"/>
        <v>1446</v>
      </c>
      <c r="Y53">
        <f t="shared" si="5"/>
        <v>2496</v>
      </c>
      <c r="Z53">
        <f t="shared" si="5"/>
        <v>1830</v>
      </c>
      <c r="AA53">
        <f t="shared" si="5"/>
        <v>1487</v>
      </c>
      <c r="AB53">
        <f t="shared" si="5"/>
        <v>0</v>
      </c>
    </row>
    <row r="54" spans="2:28" x14ac:dyDescent="0.3">
      <c r="B54" s="91" t="s">
        <v>88</v>
      </c>
      <c r="C54">
        <v>16</v>
      </c>
      <c r="D54">
        <v>15</v>
      </c>
      <c r="E54">
        <v>17</v>
      </c>
      <c r="F54">
        <v>17</v>
      </c>
      <c r="G54">
        <v>17</v>
      </c>
      <c r="H54">
        <v>37</v>
      </c>
      <c r="I54">
        <v>28</v>
      </c>
      <c r="J54">
        <v>40</v>
      </c>
      <c r="K54">
        <v>26</v>
      </c>
      <c r="L54">
        <v>5</v>
      </c>
      <c r="M54">
        <v>10</v>
      </c>
      <c r="N54">
        <v>3</v>
      </c>
      <c r="R54" s="50">
        <f>R53/R52</f>
        <v>4.5412325994108348E-2</v>
      </c>
      <c r="S54" s="50">
        <f t="shared" ref="S54:AA54" si="6">S53/S52</f>
        <v>8.4757096029314305E-2</v>
      </c>
      <c r="T54" s="50">
        <f t="shared" si="6"/>
        <v>5.9822880614632021E-2</v>
      </c>
      <c r="U54" s="50">
        <f t="shared" si="6"/>
        <v>2.0483641536273117E-2</v>
      </c>
      <c r="V54" s="50">
        <f t="shared" si="6"/>
        <v>1.3310127348903572E-2</v>
      </c>
      <c r="W54" s="50">
        <f t="shared" si="6"/>
        <v>1.8933875073536284E-2</v>
      </c>
      <c r="X54" s="50">
        <f t="shared" si="6"/>
        <v>4.1926909740293825E-2</v>
      </c>
      <c r="Y54" s="50">
        <f t="shared" si="6"/>
        <v>7.0320298252726524E-2</v>
      </c>
      <c r="Z54" s="50">
        <f t="shared" si="6"/>
        <v>5.3973353090136678E-2</v>
      </c>
      <c r="AA54" s="50">
        <f t="shared" si="6"/>
        <v>4.1788984457420478E-2</v>
      </c>
      <c r="AB54" s="57">
        <f>AVERAGE(V54:AA54)</f>
        <v>4.0042257993836226E-2</v>
      </c>
    </row>
    <row r="55" spans="2:28" x14ac:dyDescent="0.3">
      <c r="B55" s="91" t="s">
        <v>89</v>
      </c>
      <c r="C55">
        <v>-243</v>
      </c>
      <c r="D55">
        <v>-282</v>
      </c>
      <c r="E55">
        <v>-153</v>
      </c>
      <c r="F55">
        <v>-320</v>
      </c>
      <c r="G55">
        <v>-573</v>
      </c>
      <c r="H55">
        <v>-25</v>
      </c>
      <c r="I55">
        <v>-140</v>
      </c>
      <c r="J55">
        <v>0</v>
      </c>
      <c r="K55">
        <v>-146</v>
      </c>
      <c r="L55">
        <v>-212</v>
      </c>
      <c r="M55">
        <v>-1</v>
      </c>
      <c r="N55">
        <v>0</v>
      </c>
    </row>
    <row r="56" spans="2:28" x14ac:dyDescent="0.3">
      <c r="B56" s="91" t="s">
        <v>90</v>
      </c>
      <c r="C56">
        <v>278</v>
      </c>
      <c r="D56">
        <v>205</v>
      </c>
      <c r="E56">
        <v>357</v>
      </c>
      <c r="F56">
        <v>362</v>
      </c>
      <c r="G56">
        <v>733</v>
      </c>
      <c r="H56">
        <v>118</v>
      </c>
      <c r="I56">
        <v>272</v>
      </c>
      <c r="J56">
        <v>207</v>
      </c>
      <c r="K56">
        <v>446</v>
      </c>
      <c r="L56">
        <v>240</v>
      </c>
      <c r="M56">
        <v>421</v>
      </c>
      <c r="N56">
        <v>1197</v>
      </c>
    </row>
    <row r="57" spans="2:28" x14ac:dyDescent="0.3">
      <c r="B57" s="91" t="s">
        <v>91</v>
      </c>
      <c r="C57">
        <v>11</v>
      </c>
      <c r="D57">
        <v>15</v>
      </c>
      <c r="E57">
        <v>32</v>
      </c>
      <c r="F57">
        <v>39</v>
      </c>
      <c r="G57">
        <v>40</v>
      </c>
      <c r="H57">
        <v>65</v>
      </c>
      <c r="I57">
        <v>73</v>
      </c>
      <c r="J57">
        <v>77</v>
      </c>
      <c r="K57">
        <v>87</v>
      </c>
      <c r="L57">
        <v>135</v>
      </c>
      <c r="M57">
        <v>155</v>
      </c>
      <c r="N57">
        <v>153</v>
      </c>
    </row>
    <row r="58" spans="2:28" x14ac:dyDescent="0.3">
      <c r="B58" s="91" t="s">
        <v>92</v>
      </c>
      <c r="C58">
        <v>71</v>
      </c>
      <c r="D58">
        <v>69</v>
      </c>
      <c r="E58">
        <v>74</v>
      </c>
      <c r="F58">
        <v>38</v>
      </c>
      <c r="G58">
        <v>40</v>
      </c>
      <c r="H58">
        <v>27</v>
      </c>
      <c r="I58">
        <v>8</v>
      </c>
      <c r="J58">
        <v>15</v>
      </c>
      <c r="K58">
        <v>56</v>
      </c>
      <c r="L58">
        <v>129</v>
      </c>
      <c r="M58">
        <v>136</v>
      </c>
      <c r="N58">
        <v>118</v>
      </c>
    </row>
    <row r="59" spans="2:28" x14ac:dyDescent="0.3">
      <c r="B59" s="91" t="s">
        <v>93</v>
      </c>
      <c r="C59">
        <v>0</v>
      </c>
      <c r="D59">
        <v>0</v>
      </c>
      <c r="E59">
        <v>0</v>
      </c>
      <c r="F59">
        <v>0</v>
      </c>
      <c r="G59">
        <v>0</v>
      </c>
      <c r="H59">
        <v>0</v>
      </c>
      <c r="I59">
        <v>0</v>
      </c>
      <c r="J59">
        <v>0</v>
      </c>
      <c r="K59">
        <v>-180</v>
      </c>
      <c r="L59">
        <v>0</v>
      </c>
      <c r="M59">
        <v>0</v>
      </c>
      <c r="N59">
        <v>0</v>
      </c>
    </row>
    <row r="60" spans="2:28" x14ac:dyDescent="0.3">
      <c r="B60" s="91" t="s">
        <v>94</v>
      </c>
      <c r="C60">
        <v>0</v>
      </c>
      <c r="D60">
        <v>0</v>
      </c>
      <c r="E60">
        <v>0</v>
      </c>
      <c r="F60">
        <v>141</v>
      </c>
      <c r="G60">
        <v>0</v>
      </c>
      <c r="H60">
        <v>17</v>
      </c>
      <c r="I60">
        <v>0</v>
      </c>
      <c r="J60">
        <v>0</v>
      </c>
      <c r="K60">
        <v>0</v>
      </c>
      <c r="L60">
        <v>0</v>
      </c>
      <c r="M60">
        <v>38</v>
      </c>
      <c r="N60">
        <v>0</v>
      </c>
    </row>
    <row r="61" spans="2:28" x14ac:dyDescent="0.3">
      <c r="B61" s="91" t="s">
        <v>95</v>
      </c>
      <c r="C61">
        <v>0</v>
      </c>
      <c r="D61">
        <v>0</v>
      </c>
      <c r="E61">
        <v>0</v>
      </c>
      <c r="F61">
        <v>-525</v>
      </c>
      <c r="G61">
        <v>0</v>
      </c>
      <c r="H61">
        <v>0</v>
      </c>
      <c r="I61">
        <v>0</v>
      </c>
      <c r="J61">
        <v>0</v>
      </c>
      <c r="K61">
        <v>0</v>
      </c>
      <c r="L61">
        <v>0</v>
      </c>
      <c r="M61">
        <v>0</v>
      </c>
      <c r="N61">
        <v>0</v>
      </c>
    </row>
    <row r="62" spans="2:28" x14ac:dyDescent="0.3">
      <c r="B62" s="91" t="s">
        <v>96</v>
      </c>
      <c r="C62">
        <v>-144</v>
      </c>
      <c r="D62">
        <v>-70</v>
      </c>
      <c r="E62">
        <v>-324</v>
      </c>
      <c r="F62">
        <v>118</v>
      </c>
      <c r="G62">
        <v>-24</v>
      </c>
      <c r="H62">
        <v>-343</v>
      </c>
      <c r="I62">
        <v>-493</v>
      </c>
      <c r="J62">
        <v>-105</v>
      </c>
      <c r="K62">
        <v>-126</v>
      </c>
      <c r="L62">
        <v>-350</v>
      </c>
      <c r="M62">
        <v>130</v>
      </c>
      <c r="N62">
        <v>-1312</v>
      </c>
    </row>
    <row r="63" spans="2:28" x14ac:dyDescent="0.3">
      <c r="B63" s="82" t="s">
        <v>270</v>
      </c>
      <c r="C63">
        <v>-576</v>
      </c>
      <c r="D63">
        <v>-849</v>
      </c>
      <c r="E63">
        <v>-756</v>
      </c>
      <c r="F63">
        <v>-1379</v>
      </c>
      <c r="G63">
        <v>-1117</v>
      </c>
      <c r="H63">
        <v>-2871</v>
      </c>
      <c r="I63">
        <v>-650</v>
      </c>
      <c r="J63">
        <v>-1808</v>
      </c>
      <c r="K63">
        <v>-2140</v>
      </c>
      <c r="L63">
        <v>-2982</v>
      </c>
      <c r="M63">
        <v>-3753</v>
      </c>
      <c r="N63">
        <v>-2377</v>
      </c>
    </row>
    <row r="64" spans="2:28" x14ac:dyDescent="0.3">
      <c r="B64" s="91" t="s">
        <v>97</v>
      </c>
      <c r="C64">
        <v>0</v>
      </c>
      <c r="D64">
        <v>0</v>
      </c>
      <c r="E64">
        <v>0</v>
      </c>
      <c r="F64">
        <v>0</v>
      </c>
      <c r="G64">
        <v>0</v>
      </c>
      <c r="H64">
        <v>0</v>
      </c>
      <c r="I64">
        <v>0</v>
      </c>
      <c r="J64">
        <v>0</v>
      </c>
      <c r="K64">
        <v>0</v>
      </c>
      <c r="L64">
        <v>1</v>
      </c>
      <c r="M64">
        <v>0</v>
      </c>
      <c r="N64">
        <v>0</v>
      </c>
    </row>
    <row r="65" spans="2:14" x14ac:dyDescent="0.3">
      <c r="B65" s="91" t="s">
        <v>98</v>
      </c>
      <c r="C65">
        <v>239</v>
      </c>
      <c r="D65">
        <v>8</v>
      </c>
      <c r="E65">
        <v>271</v>
      </c>
      <c r="F65">
        <v>10</v>
      </c>
      <c r="G65">
        <v>243</v>
      </c>
      <c r="H65">
        <v>18</v>
      </c>
      <c r="I65">
        <v>155</v>
      </c>
      <c r="J65">
        <v>418</v>
      </c>
      <c r="K65">
        <v>254</v>
      </c>
      <c r="L65">
        <v>101</v>
      </c>
      <c r="M65">
        <v>415</v>
      </c>
      <c r="N65">
        <v>1279</v>
      </c>
    </row>
    <row r="66" spans="2:14" x14ac:dyDescent="0.3">
      <c r="B66" s="91" t="s">
        <v>99</v>
      </c>
      <c r="C66">
        <v>-86</v>
      </c>
      <c r="D66">
        <v>-119</v>
      </c>
      <c r="E66">
        <v>-58</v>
      </c>
      <c r="F66">
        <v>-54</v>
      </c>
      <c r="G66">
        <v>-26</v>
      </c>
      <c r="H66">
        <v>-482</v>
      </c>
      <c r="I66">
        <v>-14</v>
      </c>
      <c r="J66">
        <v>-8</v>
      </c>
      <c r="K66">
        <v>-25</v>
      </c>
      <c r="L66">
        <v>-98</v>
      </c>
      <c r="M66">
        <v>-428</v>
      </c>
      <c r="N66">
        <v>-452</v>
      </c>
    </row>
    <row r="67" spans="2:14" x14ac:dyDescent="0.3">
      <c r="B67" s="91" t="s">
        <v>100</v>
      </c>
      <c r="C67">
        <v>-35</v>
      </c>
      <c r="D67">
        <v>-40</v>
      </c>
      <c r="E67">
        <v>-36</v>
      </c>
      <c r="F67">
        <v>-35</v>
      </c>
      <c r="G67">
        <v>-106</v>
      </c>
      <c r="H67">
        <v>-101</v>
      </c>
      <c r="I67">
        <v>-89</v>
      </c>
      <c r="J67">
        <v>-94</v>
      </c>
      <c r="K67">
        <v>-142</v>
      </c>
      <c r="L67">
        <v>-191</v>
      </c>
      <c r="M67">
        <v>-203</v>
      </c>
      <c r="N67">
        <v>-228</v>
      </c>
    </row>
    <row r="68" spans="2:14" x14ac:dyDescent="0.3">
      <c r="B68" s="91" t="s">
        <v>101</v>
      </c>
      <c r="C68">
        <v>-695</v>
      </c>
      <c r="D68">
        <v>-764</v>
      </c>
      <c r="E68">
        <v>-947</v>
      </c>
      <c r="F68">
        <v>-1218</v>
      </c>
      <c r="G68">
        <v>-1049</v>
      </c>
      <c r="H68">
        <v>-2121</v>
      </c>
      <c r="I68">
        <v>-499</v>
      </c>
      <c r="J68">
        <v>-1763</v>
      </c>
      <c r="K68">
        <v>-1936</v>
      </c>
      <c r="L68">
        <v>-2551</v>
      </c>
      <c r="M68">
        <v>-3140</v>
      </c>
      <c r="N68">
        <v>-2425</v>
      </c>
    </row>
    <row r="69" spans="2:14" x14ac:dyDescent="0.3">
      <c r="B69" s="91" t="s">
        <v>102</v>
      </c>
      <c r="C69">
        <v>0</v>
      </c>
      <c r="D69">
        <v>0</v>
      </c>
      <c r="E69">
        <v>0</v>
      </c>
      <c r="F69">
        <v>0</v>
      </c>
      <c r="G69">
        <v>-180</v>
      </c>
      <c r="H69">
        <v>-179</v>
      </c>
      <c r="I69">
        <v>-203</v>
      </c>
      <c r="J69">
        <v>-221</v>
      </c>
      <c r="K69">
        <v>-256</v>
      </c>
      <c r="L69">
        <v>-286</v>
      </c>
      <c r="M69">
        <v>-325</v>
      </c>
      <c r="N69">
        <v>-340</v>
      </c>
    </row>
    <row r="70" spans="2:14" x14ac:dyDescent="0.3">
      <c r="B70" s="91" t="s">
        <v>103</v>
      </c>
      <c r="C70">
        <v>0</v>
      </c>
      <c r="D70">
        <v>66</v>
      </c>
      <c r="E70">
        <v>13</v>
      </c>
      <c r="F70">
        <v>-82</v>
      </c>
      <c r="G70">
        <v>0</v>
      </c>
      <c r="H70">
        <v>-6</v>
      </c>
      <c r="I70">
        <v>0</v>
      </c>
      <c r="J70">
        <v>-140</v>
      </c>
      <c r="K70">
        <v>-36</v>
      </c>
      <c r="L70">
        <v>41</v>
      </c>
      <c r="M70">
        <v>-72</v>
      </c>
      <c r="N70">
        <v>-210</v>
      </c>
    </row>
    <row r="71" spans="2:14" x14ac:dyDescent="0.3">
      <c r="B71" s="108" t="s">
        <v>29</v>
      </c>
      <c r="C71">
        <v>147</v>
      </c>
      <c r="D71">
        <v>528</v>
      </c>
      <c r="E71">
        <v>90</v>
      </c>
      <c r="F71">
        <v>-822</v>
      </c>
      <c r="G71">
        <v>434</v>
      </c>
      <c r="H71">
        <v>-351</v>
      </c>
      <c r="I71">
        <v>2492</v>
      </c>
      <c r="J71">
        <v>-1138</v>
      </c>
      <c r="K71">
        <v>771</v>
      </c>
      <c r="L71">
        <v>573</v>
      </c>
      <c r="M71">
        <v>-270</v>
      </c>
      <c r="N71">
        <v>3383</v>
      </c>
    </row>
    <row r="72" spans="2:14" x14ac:dyDescent="0.3">
      <c r="B72" s="108" t="s">
        <v>104</v>
      </c>
      <c r="C72">
        <v>750</v>
      </c>
      <c r="D72">
        <v>1441</v>
      </c>
      <c r="E72">
        <v>860</v>
      </c>
      <c r="F72">
        <v>705</v>
      </c>
      <c r="G72">
        <v>1336</v>
      </c>
      <c r="H72">
        <v>2661</v>
      </c>
      <c r="I72">
        <v>3422</v>
      </c>
      <c r="J72">
        <v>475</v>
      </c>
      <c r="K72">
        <v>2774</v>
      </c>
      <c r="L72">
        <v>3613</v>
      </c>
      <c r="M72">
        <v>2604</v>
      </c>
      <c r="N72">
        <v>5604</v>
      </c>
    </row>
    <row r="76" spans="2:14" x14ac:dyDescent="0.3">
      <c r="N76" s="1"/>
    </row>
  </sheetData>
  <mergeCells count="2">
    <mergeCell ref="B2:N2"/>
    <mergeCell ref="B42:N4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A32B-DEFD-413D-8587-D94F37203A37}">
  <dimension ref="B2:Q10"/>
  <sheetViews>
    <sheetView showGridLines="0" workbookViewId="0">
      <selection activeCell="M3" sqref="M3"/>
    </sheetView>
  </sheetViews>
  <sheetFormatPr defaultRowHeight="14.4" x14ac:dyDescent="0.3"/>
  <cols>
    <col min="1" max="1" width="1.88671875" customWidth="1"/>
    <col min="14" max="14" width="12" bestFit="1" customWidth="1"/>
  </cols>
  <sheetData>
    <row r="2" spans="2:17" x14ac:dyDescent="0.3">
      <c r="B2" s="281" t="str">
        <f>"Football Field Analysis"&amp;" - "&amp;Datasheet!$B$1</f>
        <v>Football Field Analysis - ASIAN PAINTS LTD</v>
      </c>
      <c r="C2" s="281"/>
      <c r="D2" s="281"/>
      <c r="E2" s="281"/>
      <c r="F2" s="281"/>
      <c r="G2" s="281"/>
      <c r="H2" s="281"/>
      <c r="I2" s="281"/>
      <c r="J2" s="281"/>
      <c r="K2" s="281"/>
      <c r="L2" s="281"/>
      <c r="M2" s="281"/>
      <c r="N2" s="281"/>
      <c r="O2" s="281"/>
      <c r="P2" s="281"/>
      <c r="Q2" s="281"/>
    </row>
    <row r="4" spans="2:17" x14ac:dyDescent="0.3">
      <c r="L4" s="283" t="s">
        <v>730</v>
      </c>
      <c r="M4" s="283"/>
      <c r="N4" s="283"/>
      <c r="O4" s="283"/>
      <c r="P4" s="283"/>
      <c r="Q4" s="283"/>
    </row>
    <row r="5" spans="2:17" x14ac:dyDescent="0.3">
      <c r="N5" t="s">
        <v>736</v>
      </c>
      <c r="O5" t="s">
        <v>718</v>
      </c>
      <c r="P5" t="s">
        <v>737</v>
      </c>
      <c r="Q5" t="s">
        <v>715</v>
      </c>
    </row>
    <row r="6" spans="2:17" x14ac:dyDescent="0.3">
      <c r="L6" t="s">
        <v>731</v>
      </c>
      <c r="N6" s="60">
        <v>1513.0020781373244</v>
      </c>
      <c r="O6" s="60">
        <v>1513.0020781373244</v>
      </c>
      <c r="P6" s="60">
        <v>1844.6918568140613</v>
      </c>
      <c r="Q6" s="60">
        <v>1844.6918568140613</v>
      </c>
    </row>
    <row r="7" spans="2:17" x14ac:dyDescent="0.3">
      <c r="L7" t="s">
        <v>732</v>
      </c>
      <c r="N7" s="60">
        <v>226.64819370488306</v>
      </c>
      <c r="O7" s="60">
        <f>DCF!M21</f>
        <v>308.93302152408916</v>
      </c>
      <c r="P7" s="60">
        <v>284.93297708118075</v>
      </c>
      <c r="Q7" s="60">
        <f>DCF!M26</f>
        <v>390.64509504246632</v>
      </c>
    </row>
    <row r="8" spans="2:17" x14ac:dyDescent="0.3">
      <c r="L8" t="s">
        <v>733</v>
      </c>
      <c r="N8" s="60">
        <v>478.66802570702947</v>
      </c>
      <c r="O8" s="60">
        <v>478.66802570702947</v>
      </c>
      <c r="P8" s="60">
        <v>1029.0813705960402</v>
      </c>
      <c r="Q8" s="60">
        <v>1029.0813705960402</v>
      </c>
    </row>
    <row r="9" spans="2:17" x14ac:dyDescent="0.3">
      <c r="L9" t="s">
        <v>734</v>
      </c>
      <c r="N9" s="60">
        <v>694.73917924867771</v>
      </c>
      <c r="O9" s="60">
        <v>694.73917924867771</v>
      </c>
      <c r="P9" s="60">
        <v>4141.4803360314845</v>
      </c>
      <c r="Q9" s="60">
        <v>4141.4803360314845</v>
      </c>
    </row>
    <row r="10" spans="2:17" x14ac:dyDescent="0.3">
      <c r="L10" t="s">
        <v>735</v>
      </c>
      <c r="N10" s="60">
        <v>2115</v>
      </c>
      <c r="O10" s="60">
        <v>2115</v>
      </c>
      <c r="P10" s="60">
        <v>2985.7</v>
      </c>
      <c r="Q10" s="60">
        <v>2985.7</v>
      </c>
    </row>
  </sheetData>
  <mergeCells count="2">
    <mergeCell ref="L4:Q4"/>
    <mergeCell ref="B2:Q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FA457-8842-4F18-8C8E-ACEEA26895E8}">
  <dimension ref="A1:L16"/>
  <sheetViews>
    <sheetView showGridLines="0" workbookViewId="0">
      <selection activeCell="C16" sqref="C16"/>
    </sheetView>
  </sheetViews>
  <sheetFormatPr defaultRowHeight="14.4" x14ac:dyDescent="0.3"/>
  <cols>
    <col min="1" max="1" width="1.88671875" customWidth="1"/>
    <col min="2" max="2" width="26.44140625" bestFit="1" customWidth="1"/>
  </cols>
  <sheetData>
    <row r="1" spans="1:12" x14ac:dyDescent="0.3">
      <c r="A1" s="134"/>
    </row>
    <row r="2" spans="1:12" x14ac:dyDescent="0.3">
      <c r="B2" s="109" t="s">
        <v>887</v>
      </c>
    </row>
    <row r="3" spans="1:12" x14ac:dyDescent="0.3">
      <c r="B3" s="110" t="s">
        <v>9</v>
      </c>
      <c r="C3" s="150">
        <v>2022</v>
      </c>
      <c r="D3" s="150">
        <f>C3+1</f>
        <v>2023</v>
      </c>
      <c r="E3" s="150">
        <f t="shared" ref="E3" si="0">D3+1</f>
        <v>2024</v>
      </c>
      <c r="F3" s="150">
        <f>E3+1</f>
        <v>2025</v>
      </c>
      <c r="G3" s="150">
        <f>F3+1</f>
        <v>2026</v>
      </c>
      <c r="H3" s="212">
        <f t="shared" ref="H3:L3" si="1">G3+1</f>
        <v>2027</v>
      </c>
      <c r="I3" s="212">
        <f t="shared" si="1"/>
        <v>2028</v>
      </c>
      <c r="J3" s="212">
        <f t="shared" si="1"/>
        <v>2029</v>
      </c>
      <c r="K3" s="212">
        <f t="shared" si="1"/>
        <v>2030</v>
      </c>
      <c r="L3" s="212">
        <f t="shared" si="1"/>
        <v>2031</v>
      </c>
    </row>
    <row r="4" spans="1:12" x14ac:dyDescent="0.3">
      <c r="B4" s="116" t="s">
        <v>881</v>
      </c>
      <c r="C4" s="149">
        <f>'Raw FS'!I26</f>
        <v>8392</v>
      </c>
      <c r="D4" s="149">
        <f>C7</f>
        <v>8903</v>
      </c>
      <c r="E4" s="149">
        <f>D7</f>
        <v>10323</v>
      </c>
      <c r="F4" s="149">
        <f t="shared" ref="F4:G4" si="2">E7</f>
        <v>12814</v>
      </c>
      <c r="G4" s="149">
        <f t="shared" si="2"/>
        <v>14634</v>
      </c>
      <c r="H4" s="213">
        <f t="shared" ref="H4:L4" si="3">G7</f>
        <v>16118</v>
      </c>
      <c r="I4" s="213">
        <f t="shared" si="3"/>
        <v>17777.6163056</v>
      </c>
      <c r="J4" s="213">
        <f t="shared" si="3"/>
        <v>19536.809589536002</v>
      </c>
      <c r="K4" s="213">
        <f t="shared" si="3"/>
        <v>21419.14640334752</v>
      </c>
      <c r="L4" s="213">
        <f t="shared" si="3"/>
        <v>23433.246794125847</v>
      </c>
    </row>
    <row r="5" spans="1:12" x14ac:dyDescent="0.3">
      <c r="B5" s="210" t="s">
        <v>879</v>
      </c>
      <c r="C5" s="104">
        <f>ABS('Raw FS'!J53)</f>
        <v>551</v>
      </c>
      <c r="D5" s="104">
        <f>ABS('Raw FS'!K53)</f>
        <v>1446</v>
      </c>
      <c r="E5" s="104">
        <f>ABS('Raw FS'!L53)</f>
        <v>2496</v>
      </c>
      <c r="F5" s="104">
        <f>ABS('Raw FS'!M53)</f>
        <v>1830</v>
      </c>
      <c r="G5" s="104">
        <f>ABS('Raw FS'!N53)</f>
        <v>1487</v>
      </c>
      <c r="H5" s="214">
        <f>'Forecast(Explicit)'!C39</f>
        <v>1659.6163056</v>
      </c>
      <c r="I5" s="214">
        <f>'Forecast(Explicit)'!D39</f>
        <v>1759.1932839359999</v>
      </c>
      <c r="J5" s="214">
        <f>'Forecast(Explicit)'!E39</f>
        <v>1882.3368138115202</v>
      </c>
      <c r="K5" s="214">
        <f>'Forecast(Explicit)'!F39</f>
        <v>2014.1003907783265</v>
      </c>
      <c r="L5" s="214">
        <f>'Forecast(Explicit)'!G39</f>
        <v>2155.0874181328095</v>
      </c>
    </row>
    <row r="6" spans="1:12" x14ac:dyDescent="0.3">
      <c r="B6" s="210" t="s">
        <v>880</v>
      </c>
      <c r="C6" s="104">
        <f>-'Raw FS'!J54</f>
        <v>-40</v>
      </c>
      <c r="D6" s="104">
        <f>-'Raw FS'!K54</f>
        <v>-26</v>
      </c>
      <c r="E6" s="104">
        <f>-'Raw FS'!L54</f>
        <v>-5</v>
      </c>
      <c r="F6" s="104">
        <f>-'Raw FS'!M54</f>
        <v>-10</v>
      </c>
      <c r="G6" s="104">
        <f>-'Raw FS'!N54</f>
        <v>-3</v>
      </c>
      <c r="H6" s="214">
        <v>0</v>
      </c>
      <c r="I6" s="214">
        <v>0</v>
      </c>
      <c r="J6" s="214">
        <v>0</v>
      </c>
      <c r="K6" s="214">
        <v>0</v>
      </c>
      <c r="L6" s="214">
        <v>0</v>
      </c>
    </row>
    <row r="7" spans="1:12" x14ac:dyDescent="0.3">
      <c r="B7" s="210" t="s">
        <v>672</v>
      </c>
      <c r="C7" s="149">
        <f>SUM(C4:C6)</f>
        <v>8903</v>
      </c>
      <c r="D7" s="149">
        <f>SUM(D4:D6)</f>
        <v>10323</v>
      </c>
      <c r="E7" s="149">
        <f t="shared" ref="E7:G7" si="4">SUM(E4:E6)</f>
        <v>12814</v>
      </c>
      <c r="F7" s="149">
        <f t="shared" si="4"/>
        <v>14634</v>
      </c>
      <c r="G7" s="149">
        <f t="shared" si="4"/>
        <v>16118</v>
      </c>
      <c r="H7" s="216">
        <f>SUM(H4:H6)</f>
        <v>17777.6163056</v>
      </c>
      <c r="I7" s="216">
        <f t="shared" ref="I7" si="5">SUM(I4:I6)</f>
        <v>19536.809589536002</v>
      </c>
      <c r="J7" s="216">
        <f t="shared" ref="J7" si="6">SUM(J4:J6)</f>
        <v>21419.14640334752</v>
      </c>
      <c r="K7" s="216">
        <f t="shared" ref="K7" si="7">SUM(K4:K6)</f>
        <v>23433.246794125847</v>
      </c>
      <c r="L7" s="216">
        <f t="shared" ref="L7" si="8">SUM(L4:L6)</f>
        <v>25588.334212258658</v>
      </c>
    </row>
    <row r="8" spans="1:12" x14ac:dyDescent="0.3">
      <c r="B8" s="210" t="s">
        <v>882</v>
      </c>
      <c r="C8" s="104"/>
      <c r="D8" s="149">
        <f>AVERAGE(C7:D7)</f>
        <v>9613</v>
      </c>
      <c r="E8" s="149">
        <f t="shared" ref="E8:G8" si="9">AVERAGE(D7:E7)</f>
        <v>11568.5</v>
      </c>
      <c r="F8" s="149">
        <f t="shared" si="9"/>
        <v>13724</v>
      </c>
      <c r="G8" s="149">
        <f t="shared" si="9"/>
        <v>15376</v>
      </c>
      <c r="H8" s="213">
        <f>AVERAGE(G7:H7)</f>
        <v>16947.8081528</v>
      </c>
      <c r="I8" s="213">
        <f t="shared" ref="I8" si="10">AVERAGE(H7:I7)</f>
        <v>18657.212947568001</v>
      </c>
      <c r="J8" s="213">
        <f t="shared" ref="J8" si="11">AVERAGE(I7:J7)</f>
        <v>20477.977996441761</v>
      </c>
      <c r="K8" s="213">
        <f t="shared" ref="K8" si="12">AVERAGE(J7:K7)</f>
        <v>22426.196598736686</v>
      </c>
      <c r="L8" s="213">
        <f t="shared" ref="L8" si="13">AVERAGE(K7:L7)</f>
        <v>24510.790503192253</v>
      </c>
    </row>
    <row r="9" spans="1:12" x14ac:dyDescent="0.3">
      <c r="B9" s="210" t="s">
        <v>883</v>
      </c>
      <c r="C9" s="104"/>
      <c r="D9" s="211">
        <f>D10/D8</f>
        <v>8.9256215541454284E-2</v>
      </c>
      <c r="E9" s="211">
        <f t="shared" ref="E9:G9" si="14">E10/E8</f>
        <v>7.3734710636642609E-2</v>
      </c>
      <c r="F9" s="211">
        <f t="shared" si="14"/>
        <v>7.4784319440396374E-2</v>
      </c>
      <c r="G9" s="211">
        <f t="shared" si="14"/>
        <v>7.9920005202913633E-2</v>
      </c>
      <c r="H9" s="215">
        <f>AVERAGE(D9:G9)</f>
        <v>7.9423812705351732E-2</v>
      </c>
      <c r="I9" s="215">
        <f t="shared" ref="I9:L9" si="15">AVERAGE(E9:H9)</f>
        <v>7.6965711996326097E-2</v>
      </c>
      <c r="J9" s="215">
        <f t="shared" si="15"/>
        <v>7.7773462336246962E-2</v>
      </c>
      <c r="K9" s="215">
        <f t="shared" si="15"/>
        <v>7.8520748060209603E-2</v>
      </c>
      <c r="L9" s="215">
        <f t="shared" si="15"/>
        <v>7.8170933774533602E-2</v>
      </c>
    </row>
    <row r="10" spans="1:12" x14ac:dyDescent="0.3">
      <c r="B10" s="210" t="s">
        <v>884</v>
      </c>
      <c r="C10" s="104">
        <f>HistoricalFS!H24</f>
        <v>816.36</v>
      </c>
      <c r="D10" s="104">
        <f>HistoricalFS!I24</f>
        <v>858.02</v>
      </c>
      <c r="E10" s="104">
        <f>HistoricalFS!J24</f>
        <v>853</v>
      </c>
      <c r="F10" s="104">
        <f>HistoricalFS!K24</f>
        <v>1026.3399999999999</v>
      </c>
      <c r="G10" s="104">
        <f>HistoricalFS!L24</f>
        <v>1228.8499999999999</v>
      </c>
      <c r="H10" s="217">
        <f>H9*H8</f>
        <v>1346.0595404942203</v>
      </c>
      <c r="I10" s="217">
        <f t="shared" ref="I10:L10" si="16">I9*I8</f>
        <v>1435.9656783766452</v>
      </c>
      <c r="J10" s="217">
        <f t="shared" si="16"/>
        <v>1592.6432504287573</v>
      </c>
      <c r="K10" s="217">
        <f t="shared" si="16"/>
        <v>1760.9217330781328</v>
      </c>
      <c r="L10" s="217">
        <f t="shared" si="16"/>
        <v>1916.0313811865087</v>
      </c>
    </row>
    <row r="12" spans="1:12" ht="15" thickBot="1" x14ac:dyDescent="0.35">
      <c r="B12" s="109" t="s">
        <v>889</v>
      </c>
    </row>
    <row r="13" spans="1:12" ht="15" thickBot="1" x14ac:dyDescent="0.35">
      <c r="B13" s="224" t="s">
        <v>9</v>
      </c>
      <c r="C13" s="225">
        <v>2027</v>
      </c>
      <c r="D13" s="225">
        <f>C13+1</f>
        <v>2028</v>
      </c>
      <c r="E13" s="225">
        <f t="shared" ref="E13" si="17">D13+1</f>
        <v>2029</v>
      </c>
      <c r="F13" s="225">
        <f>E13+1</f>
        <v>2030</v>
      </c>
      <c r="G13" s="226">
        <f>F13+1</f>
        <v>2031</v>
      </c>
      <c r="H13" s="223" t="s">
        <v>8</v>
      </c>
    </row>
    <row r="14" spans="1:12" x14ac:dyDescent="0.3">
      <c r="B14" s="104" t="s">
        <v>890</v>
      </c>
      <c r="C14" s="104">
        <v>500</v>
      </c>
      <c r="D14" s="104">
        <v>300</v>
      </c>
      <c r="E14" s="104">
        <v>100</v>
      </c>
      <c r="F14" s="104">
        <v>0</v>
      </c>
      <c r="G14" s="104">
        <v>0</v>
      </c>
      <c r="H14" s="227">
        <f>SUM(C14:G14)</f>
        <v>900</v>
      </c>
    </row>
    <row r="15" spans="1:12" ht="15" thickBot="1" x14ac:dyDescent="0.35">
      <c r="B15" s="222" t="s">
        <v>891</v>
      </c>
      <c r="C15" s="104">
        <v>100</v>
      </c>
      <c r="D15" s="104">
        <v>700</v>
      </c>
      <c r="E15" s="104">
        <v>800</v>
      </c>
      <c r="F15" s="104">
        <v>400</v>
      </c>
      <c r="G15" s="104">
        <v>0</v>
      </c>
      <c r="H15" s="104">
        <f t="shared" ref="H15:H16" si="18">SUM(C15:G15)</f>
        <v>2000</v>
      </c>
    </row>
    <row r="16" spans="1:12" ht="15" thickBot="1" x14ac:dyDescent="0.35">
      <c r="B16" s="112" t="s">
        <v>892</v>
      </c>
      <c r="C16" s="228">
        <f>SUM(C14:C15)</f>
        <v>600</v>
      </c>
      <c r="D16" s="104">
        <f>SUM(D14:D15)</f>
        <v>1000</v>
      </c>
      <c r="E16" s="104">
        <f>SUM(E14:E15)</f>
        <v>900</v>
      </c>
      <c r="F16" s="104">
        <f>SUM(F14:F15)</f>
        <v>400</v>
      </c>
      <c r="G16" s="104">
        <v>0</v>
      </c>
      <c r="H16" s="104">
        <f t="shared" si="18"/>
        <v>2900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A0AD4-3C16-483E-A13F-4B979961F2CF}">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Assumption Sheet</vt:lpstr>
      <vt:lpstr>Assumption 2</vt:lpstr>
      <vt:lpstr>Financials&gt;</vt:lpstr>
      <vt:lpstr>HistoricalFS</vt:lpstr>
      <vt:lpstr>Ratio Analysis</vt:lpstr>
      <vt:lpstr>Forecast(Explicit)</vt:lpstr>
      <vt:lpstr>WACC</vt:lpstr>
      <vt:lpstr>Common Size Statement</vt:lpstr>
      <vt:lpstr>Intrisinic Growth</vt:lpstr>
      <vt:lpstr>DCF</vt:lpstr>
      <vt:lpstr>Relative Valuation</vt:lpstr>
      <vt:lpstr>Data&gt;</vt:lpstr>
      <vt:lpstr>Datasheet</vt:lpstr>
      <vt:lpstr>Beta</vt:lpstr>
      <vt:lpstr>Market Return</vt:lpstr>
      <vt:lpstr>Data for Rel Val</vt:lpstr>
      <vt:lpstr>Raw FS</vt:lpstr>
      <vt:lpstr>Football Field Analysis</vt:lpstr>
      <vt:lpstr>PPE Schedule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Pathak</dc:creator>
  <cp:lastModifiedBy>Krishi Pathak</cp:lastModifiedBy>
  <dcterms:created xsi:type="dcterms:W3CDTF">2015-06-05T18:17:20Z</dcterms:created>
  <dcterms:modified xsi:type="dcterms:W3CDTF">2026-10-08T04:15:24Z</dcterms:modified>
</cp:coreProperties>
</file>